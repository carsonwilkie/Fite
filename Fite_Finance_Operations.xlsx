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arsonwilkie/Fite/"/>
    </mc:Choice>
  </mc:AlternateContent>
  <xr:revisionPtr revIDLastSave="0" documentId="13_ncr:1_{DB8B61FE-D4E9-6D46-980A-5ABA7A565FC2}" xr6:coauthVersionLast="47" xr6:coauthVersionMax="47" xr10:uidLastSave="{00000000-0000-0000-0000-000000000000}"/>
  <bookViews>
    <workbookView xWindow="0" yWindow="780" windowWidth="36000" windowHeight="22600" tabRatio="500" xr2:uid="{00000000-000D-0000-FFFF-FFFF00000000}"/>
  </bookViews>
  <sheets>
    <sheet name="Operation" sheetId="1" r:id="rId1"/>
    <sheet name="Features" sheetId="2" r:id="rId2"/>
    <sheet name="Financials" sheetId="3" r:id="rId3"/>
    <sheet name="Structure" sheetId="4" r:id="rId4"/>
  </sheets>
  <definedNames>
    <definedName name="ActivePct">Financials!$B$12</definedName>
    <definedName name="ConvRate">Financials!$B$10</definedName>
    <definedName name="CostPerInt">Financials!$B$18</definedName>
    <definedName name="CostPerQ">Financials!$B$17</definedName>
    <definedName name="CurrentUsers">Financials!$B$9</definedName>
    <definedName name="FixedCosts">Financials!$C$32</definedName>
    <definedName name="FreeAvgQ">Financials!$B$14</definedName>
    <definedName name="FreeLimit">Financials!$B$13</definedName>
    <definedName name="PaidAvgInt">Financials!$B$16</definedName>
    <definedName name="PaidAvgQ">Financials!$B$15</definedName>
    <definedName name="Slider">Financials!$B$64</definedName>
    <definedName name="StripeFixed">Financials!$B$20</definedName>
    <definedName name="StripePct">Financials!$B$19</definedName>
    <definedName name="SubPrice">Financials!$B$11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6" i="3" l="1"/>
  <c r="B75" i="3"/>
  <c r="B74" i="3"/>
  <c r="B73" i="3"/>
  <c r="B72" i="3"/>
  <c r="B71" i="3"/>
  <c r="B70" i="3"/>
  <c r="B69" i="3"/>
  <c r="B68" i="3"/>
  <c r="B67" i="3"/>
  <c r="G50" i="3"/>
  <c r="C50" i="3"/>
  <c r="C45" i="3"/>
  <c r="C46" i="3" s="1"/>
  <c r="C44" i="3"/>
  <c r="D43" i="3"/>
  <c r="C43" i="3"/>
  <c r="G39" i="3"/>
  <c r="G43" i="3" s="1"/>
  <c r="F39" i="3"/>
  <c r="F50" i="3" s="1"/>
  <c r="E39" i="3"/>
  <c r="E43" i="3" s="1"/>
  <c r="D39" i="3"/>
  <c r="D50" i="3" s="1"/>
  <c r="C39" i="3"/>
  <c r="G38" i="3"/>
  <c r="G40" i="3" s="1"/>
  <c r="G49" i="3" s="1"/>
  <c r="G51" i="3" s="1"/>
  <c r="F38" i="3"/>
  <c r="F40" i="3" s="1"/>
  <c r="F49" i="3" s="1"/>
  <c r="E38" i="3"/>
  <c r="E40" i="3" s="1"/>
  <c r="E49" i="3" s="1"/>
  <c r="D38" i="3"/>
  <c r="D40" i="3" s="1"/>
  <c r="D49" i="3" s="1"/>
  <c r="C38" i="3"/>
  <c r="C40" i="3" s="1"/>
  <c r="C49" i="3" s="1"/>
  <c r="C51" i="3" s="1"/>
  <c r="B37" i="3"/>
  <c r="B38" i="3" s="1"/>
  <c r="C32" i="3"/>
  <c r="B81" i="3" s="1"/>
  <c r="E45" i="3" l="1"/>
  <c r="E46" i="3"/>
  <c r="E44" i="3"/>
  <c r="C60" i="3"/>
  <c r="B78" i="3"/>
  <c r="B79" i="3" s="1"/>
  <c r="B80" i="3" s="1"/>
  <c r="G46" i="3"/>
  <c r="G44" i="3"/>
  <c r="G45" i="3"/>
  <c r="D51" i="3"/>
  <c r="F51" i="3"/>
  <c r="D44" i="3"/>
  <c r="B52" i="3"/>
  <c r="B39" i="3"/>
  <c r="C52" i="3"/>
  <c r="C53" i="3" s="1"/>
  <c r="E50" i="3"/>
  <c r="E51" i="3" s="1"/>
  <c r="E53" i="3" s="1"/>
  <c r="E59" i="3" s="1"/>
  <c r="D52" i="3"/>
  <c r="G52" i="3"/>
  <c r="G53" i="3" s="1"/>
  <c r="G59" i="3" s="1"/>
  <c r="F43" i="3"/>
  <c r="E52" i="3"/>
  <c r="B77" i="3"/>
  <c r="F52" i="3"/>
  <c r="D45" i="3"/>
  <c r="D46" i="3" s="1"/>
  <c r="C59" i="3" l="1"/>
  <c r="C56" i="3"/>
  <c r="D56" i="3"/>
  <c r="D60" i="3"/>
  <c r="B43" i="3"/>
  <c r="B50" i="3"/>
  <c r="G60" i="3"/>
  <c r="G56" i="3"/>
  <c r="E60" i="3"/>
  <c r="E56" i="3"/>
  <c r="D53" i="3"/>
  <c r="D59" i="3" s="1"/>
  <c r="B40" i="3"/>
  <c r="B49" i="3" s="1"/>
  <c r="B51" i="3" s="1"/>
  <c r="B53" i="3" s="1"/>
  <c r="B59" i="3" s="1"/>
  <c r="F46" i="3"/>
  <c r="F44" i="3"/>
  <c r="F45" i="3"/>
  <c r="F53" i="3"/>
  <c r="F59" i="3" s="1"/>
  <c r="F56" i="3" l="1"/>
  <c r="F60" i="3"/>
  <c r="C58" i="3"/>
  <c r="C57" i="3"/>
  <c r="E58" i="3"/>
  <c r="E57" i="3"/>
  <c r="G58" i="3"/>
  <c r="G57" i="3"/>
  <c r="B45" i="3"/>
  <c r="B46" i="3" s="1"/>
  <c r="B44" i="3"/>
  <c r="D57" i="3"/>
  <c r="D58" i="3"/>
  <c r="B60" i="3" l="1"/>
  <c r="B56" i="3"/>
  <c r="F57" i="3"/>
  <c r="F58" i="3"/>
  <c r="B57" i="3" l="1"/>
  <c r="B58" i="3"/>
</calcChain>
</file>

<file path=xl/sharedStrings.xml><?xml version="1.0" encoding="utf-8"?>
<sst xmlns="http://schemas.openxmlformats.org/spreadsheetml/2006/main" count="1196" uniqueCount="826">
  <si>
    <t>OPERATION &amp; MAINTENANCE</t>
  </si>
  <si>
    <t>What to monitor, when, and what to do when something changes.</t>
  </si>
  <si>
    <t>1.  SERVICE HEALTH TRACKER</t>
  </si>
  <si>
    <t>#</t>
  </si>
  <si>
    <t>Service</t>
  </si>
  <si>
    <t>Frequency</t>
  </si>
  <si>
    <t>What to Check</t>
  </si>
  <si>
    <t>Status</t>
  </si>
  <si>
    <t>Notes &amp; Where to Look</t>
  </si>
  <si>
    <t>Vercel</t>
  </si>
  <si>
    <t>Daily</t>
  </si>
  <si>
    <t>Build status, bandwidth %</t>
  </si>
  <si>
    <t>OK</t>
  </si>
  <si>
    <t>vercel.com/dashboard → Deployments + Usage</t>
  </si>
  <si>
    <t>Stripe</t>
  </si>
  <si>
    <t>Recent payments, failed charges</t>
  </si>
  <si>
    <t>dashboard.stripe.com → Payments</t>
  </si>
  <si>
    <t>OpenAI</t>
  </si>
  <si>
    <t>API errors, daily $ spend</t>
  </si>
  <si>
    <t>platform.openai.com/usage</t>
  </si>
  <si>
    <t>Clerk</t>
  </si>
  <si>
    <t>Weekly</t>
  </si>
  <si>
    <t>MAU count, sign-up rate</t>
  </si>
  <si>
    <t>dashboard.clerk.com → Users</t>
  </si>
  <si>
    <t>Upstash Redis</t>
  </si>
  <si>
    <t>Daily commands, memory used</t>
  </si>
  <si>
    <t>console.upstash.com → Database</t>
  </si>
  <si>
    <t>Resend</t>
  </si>
  <si>
    <t>Emails sent, deliverability</t>
  </si>
  <si>
    <t>resend.com/emails</t>
  </si>
  <si>
    <t>Vercel Analytics</t>
  </si>
  <si>
    <t>Visitors, top pages, bounce</t>
  </si>
  <si>
    <t>Vercel dashboard → Analytics</t>
  </si>
  <si>
    <t>Domain (DNS/SSL)</t>
  </si>
  <si>
    <t>Monthly</t>
  </si>
  <si>
    <t>Renewal date, DNS records</t>
  </si>
  <si>
    <t>Registrar dashboard. Vercel handles SSL auto.</t>
  </si>
  <si>
    <t>Search Console</t>
  </si>
  <si>
    <t>Indexed pages, queries</t>
  </si>
  <si>
    <t>search.google.com/search-console</t>
  </si>
  <si>
    <t>OpenAI Model</t>
  </si>
  <si>
    <t>gpt-4o-mini still cheapest/best?</t>
  </si>
  <si>
    <t>platform.openai.com/docs/models</t>
  </si>
  <si>
    <t>2.  RECURRING CHECKLISTS  (check the box when complete)</t>
  </si>
  <si>
    <t>Daily (5 minutes)</t>
  </si>
  <si>
    <t>Done</t>
  </si>
  <si>
    <t>Task</t>
  </si>
  <si>
    <t>Reference / How</t>
  </si>
  <si>
    <t>☐</t>
  </si>
  <si>
    <t>Open fitefinance.com — does it load &lt; 3s?</t>
  </si>
  <si>
    <t>Browser. If slow, check Vercel deploy.</t>
  </si>
  <si>
    <t>Sign in — Clerk OAuth + email/password both work?</t>
  </si>
  <si>
    <t>Try both flows.</t>
  </si>
  <si>
    <t>Generate one question — succeeds without error?</t>
  </si>
  <si>
    <t>Dashboard → generate.</t>
  </si>
  <si>
    <t>Stripe payments dashboard — any failed charges?</t>
  </si>
  <si>
    <t>dashboard.stripe.com → Payments.</t>
  </si>
  <si>
    <t>OpenAI usage — daily $ within expected band?</t>
  </si>
  <si>
    <t>platform.openai.com/usage. Flag spikes.</t>
  </si>
  <si>
    <t>Vercel deploy log — last build green?</t>
  </si>
  <si>
    <t>vercel.com → latest deploy.</t>
  </si>
  <si>
    <t>Feedback inbox — any new submissions to review?</t>
  </si>
  <si>
    <t>Email + Redis feedback list.</t>
  </si>
  <si>
    <t>Weekly (15 minutes)</t>
  </si>
  <si>
    <t>Vercel bandwidth used % of Hobby cap (100GB)</t>
  </si>
  <si>
    <t>Vercel dashboard → Usage.</t>
  </si>
  <si>
    <t>OpenAI cumulative weekly spend vs. forecast</t>
  </si>
  <si>
    <t>platform.openai.com/usage.</t>
  </si>
  <si>
    <t>Stripe MRR matches Financials tab projection?</t>
  </si>
  <si>
    <t>Update Financials inputs if growth changed.</t>
  </si>
  <si>
    <t>Upstash Redis daily commands trending normal?</t>
  </si>
  <si>
    <t>Watch for runaway loops.</t>
  </si>
  <si>
    <t>Clerk MAU count — approaching 10k threshold?</t>
  </si>
  <si>
    <t>Trigger upgrade if so.</t>
  </si>
  <si>
    <t>Resend monthly email count vs. 3k limit</t>
  </si>
  <si>
    <t>Most months: well under.</t>
  </si>
  <si>
    <t>Test full sign-up → paywall → checkout cancel</t>
  </si>
  <si>
    <t>Catches Stripe regressions.</t>
  </si>
  <si>
    <t>Skim feedback + feature-vote submissions</t>
  </si>
  <si>
    <t>Redis: feedback, vote:submissions.</t>
  </si>
  <si>
    <t>Check Vercel Analytics for traffic anomalies</t>
  </si>
  <si>
    <t>Sudden drop = SEO/redirect issue.</t>
  </si>
  <si>
    <t>Search 'fitefinance' in Google — results look right?</t>
  </si>
  <si>
    <t>Favicon, title, description.</t>
  </si>
  <si>
    <t>Monthly (45 minutes)</t>
  </si>
  <si>
    <t>Reconcile Stripe MRR vs. Financials Net Revenue</t>
  </si>
  <si>
    <t>Update Current Total Users + Conv Rate.</t>
  </si>
  <si>
    <t>Run npm outdated — flag major-version updates</t>
  </si>
  <si>
    <t>Especially Next, React, Clerk, Stripe SDKs.</t>
  </si>
  <si>
    <t>Run npm audit — any high-severity issues?</t>
  </si>
  <si>
    <t>Patch promptly; don't ignore.</t>
  </si>
  <si>
    <t>Test password reset end-to-end</t>
  </si>
  <si>
    <t>AuthCard → forgot-password flow.</t>
  </si>
  <si>
    <t>Test interview mode end-to-end (4 questions)</t>
  </si>
  <si>
    <t>Catches regressions in /api/interview.</t>
  </si>
  <si>
    <t>Check OpenAI for newer cheaper/better model</t>
  </si>
  <si>
    <t>Update OPENAI model in api/_openai.js.</t>
  </si>
  <si>
    <t>Verify Stripe API version vs. integration</t>
  </si>
  <si>
    <t>stripe.com/docs/api versions.</t>
  </si>
  <si>
    <t>Ensure robots.txt + sitemap accessible</t>
  </si>
  <si>
    <t>fitefinance.com/robots.txt.</t>
  </si>
  <si>
    <t>Search Console: indexed pages, no crawl errors</t>
  </si>
  <si>
    <t>search.google.com/search-console.</t>
  </si>
  <si>
    <t>Update Features tab: new live, archive cut</t>
  </si>
  <si>
    <t>Ask Claude: 'audit my repo for new features'.</t>
  </si>
  <si>
    <t>Update Financials master inputs with actuals</t>
  </si>
  <si>
    <t>User count, conv rate, costs.</t>
  </si>
  <si>
    <t>Domain registrar — check renewal date</t>
  </si>
  <si>
    <t>Set calendar alarm 14 days prior.</t>
  </si>
  <si>
    <t>Stripe webhook events received without error</t>
  </si>
  <si>
    <t>dashboard.stripe.com → Webhooks → Events.</t>
  </si>
  <si>
    <t>Privacy / Terms / Refunds dates still current?</t>
  </si>
  <si>
    <t>Bump 'Last updated' if changed.</t>
  </si>
  <si>
    <t>Quarterly (2 hours)</t>
  </si>
  <si>
    <t>Full repo audit: dead code, unused assets, old routes</t>
  </si>
  <si>
    <t>Could ask Claude to do a sweep.</t>
  </si>
  <si>
    <t>Backup full Redis (history, paid keys) to JSON</t>
  </si>
  <si>
    <t>scripts/redis-export.</t>
  </si>
  <si>
    <t>Review and rotate any leaked / shared API keys</t>
  </si>
  <si>
    <t>OpenAI, Stripe restricted, Clerk, Upstash.</t>
  </si>
  <si>
    <t>Performance: Lighthouse run on landing + dashboard</t>
  </si>
  <si>
    <t>Aim 90+ all categories.</t>
  </si>
  <si>
    <t>Test on iOS Safari + Android Chrome (real devices)</t>
  </si>
  <si>
    <t>Frame loader + viewport stability.</t>
  </si>
  <si>
    <t>Customer / user feedback themes summary</t>
  </si>
  <si>
    <t>What's the #1 ask? roadmap impact.</t>
  </si>
  <si>
    <t>Compare unit economics vs. last quarter</t>
  </si>
  <si>
    <t>Cost-per-active, ARPU, profit margin.</t>
  </si>
  <si>
    <t>3.  UPDATE WATCHLIST  (dependencies &amp; APIs)</t>
  </si>
  <si>
    <t>Package / Service</t>
  </si>
  <si>
    <t>Current</t>
  </si>
  <si>
    <t>Watch For</t>
  </si>
  <si>
    <t>Risk</t>
  </si>
  <si>
    <t>Action if Update Lands</t>
  </si>
  <si>
    <t>next</t>
  </si>
  <si>
    <t>16.2.3</t>
  </si>
  <si>
    <t>Major releases</t>
  </si>
  <si>
    <t>High</t>
  </si>
  <si>
    <t>Read changelog. Test build + interview flow before deploying.</t>
  </si>
  <si>
    <t>react</t>
  </si>
  <si>
    <t>19.x</t>
  </si>
  <si>
    <t>Minor / patch</t>
  </si>
  <si>
    <t>Medium</t>
  </si>
  <si>
    <t>Usually safe; verify motion/react still compatible.</t>
  </si>
  <si>
    <t>@clerk/clerk-react</t>
  </si>
  <si>
    <t>Latest</t>
  </si>
  <si>
    <t>Breaking SDK changes</t>
  </si>
  <si>
    <t>Run /sign-in + /account flows after upgrade.</t>
  </si>
  <si>
    <t>stripe (npm)</t>
  </si>
  <si>
    <t>API version bumps</t>
  </si>
  <si>
    <t>Verify webhook + checkout still post correctly.</t>
  </si>
  <si>
    <t>openai (npm)</t>
  </si>
  <si>
    <t>Model deprecations</t>
  </si>
  <si>
    <t>If gpt-4o-mini deprecated, switch and price-test.</t>
  </si>
  <si>
    <t>@upstash/redis</t>
  </si>
  <si>
    <t>Patch releases</t>
  </si>
  <si>
    <t>Low</t>
  </si>
  <si>
    <t>Generally drop-in.</t>
  </si>
  <si>
    <t>motion/react</t>
  </si>
  <si>
    <t>Animation API</t>
  </si>
  <si>
    <t>Landing hero uses GSAP, but UI animations rely on this.</t>
  </si>
  <si>
    <t>resend</t>
  </si>
  <si>
    <t>Email send only — low blast radius.</t>
  </si>
  <si>
    <t>Node.js runtime</t>
  </si>
  <si>
    <t>20+</t>
  </si>
  <si>
    <t>Vercel default upd.</t>
  </si>
  <si>
    <t>Check Vercel build logs after Node bump.</t>
  </si>
  <si>
    <t>Stripe API version</t>
  </si>
  <si>
    <t>Pinned</t>
  </si>
  <si>
    <t>New Stripe versions</t>
  </si>
  <si>
    <t>Don't auto-bump; test in Stripe sandbox first.</t>
  </si>
  <si>
    <t>4.  CONDITIONAL TRIGGERS  ("if X happens, do Y")</t>
  </si>
  <si>
    <t>Trigger Condition</t>
  </si>
  <si>
    <t>Severity</t>
  </si>
  <si>
    <t>Immediate Action</t>
  </si>
  <si>
    <t>Owner</t>
  </si>
  <si>
    <t>Notes</t>
  </si>
  <si>
    <t>Active users &gt; 5,000</t>
  </si>
  <si>
    <t>Plan</t>
  </si>
  <si>
    <t>Upgrade Vercel to Pro ($20/mo).</t>
  </si>
  <si>
    <t>Carson</t>
  </si>
  <si>
    <t>Hobby caps at 100GB bandwidth.</t>
  </si>
  <si>
    <t>MAU &gt; 10,000</t>
  </si>
  <si>
    <t>Upgrade Clerk to Pro tier.</t>
  </si>
  <si>
    <t>$25/mo + $0.02/MAU over.</t>
  </si>
  <si>
    <t>Upstash daily cmds &gt; 8k</t>
  </si>
  <si>
    <t>Watch</t>
  </si>
  <si>
    <t>Switch to pay-as-you-go.</t>
  </si>
  <si>
    <t>~$5/mo to start.</t>
  </si>
  <si>
    <t>Resend &gt; 2,500 emails/mo</t>
  </si>
  <si>
    <t>Plan Resend Pro upgrade ($20/mo).</t>
  </si>
  <si>
    <t>Trigger before hitting 3k limit.</t>
  </si>
  <si>
    <t>OpenAI daily spend &gt; $5</t>
  </si>
  <si>
    <t>Verify no runaway loops or abuse.</t>
  </si>
  <si>
    <t>Add per-user rate limits if abuse confirmed.</t>
  </si>
  <si>
    <t>Stripe failed charge rate &gt; 5%</t>
  </si>
  <si>
    <t>Action</t>
  </si>
  <si>
    <t>Inspect failure reasons; check 3DS settings.</t>
  </si>
  <si>
    <t>Could indicate fraud or card-decline pattern.</t>
  </si>
  <si>
    <t>Vercel build fails</t>
  </si>
  <si>
    <t>Check log; rollback to last green deploy.</t>
  </si>
  <si>
    <t>Use Vercel rollback button.</t>
  </si>
  <si>
    <t>OpenAI model deprecated</t>
  </si>
  <si>
    <t>Swap model in api/_openai.js + price-test.</t>
  </si>
  <si>
    <t>Ask Claude to scan repo + update.</t>
  </si>
  <si>
    <t>npm audit reports high-severity</t>
  </si>
  <si>
    <t>Patch within 48 hours.</t>
  </si>
  <si>
    <t>Don't merge new features until clean.</t>
  </si>
  <si>
    <t>Negative profit margin for 30 days</t>
  </si>
  <si>
    <t>Re-price OR reduce free quota OR optimize prompts.</t>
  </si>
  <si>
    <t>See Financials → What-If Calculator.</t>
  </si>
  <si>
    <t>&gt; 20 feature-vote submissions for one idea</t>
  </si>
  <si>
    <t>Promote to top of Features potential ranks.</t>
  </si>
  <si>
    <t>Sign that the user base actually wants it.</t>
  </si>
  <si>
    <t>Conversion rate drops &gt; 50% MoM</t>
  </si>
  <si>
    <t>Test sign-up + paywall + checkout end-to-end.</t>
  </si>
  <si>
    <t>May indicate broken flow.</t>
  </si>
  <si>
    <t>5.  COPY-PASTE PROMPTS  (to ask Claude on a recurring basis)</t>
  </si>
  <si>
    <t>When</t>
  </si>
  <si>
    <t>Prompt</t>
  </si>
  <si>
    <t>Outcome</t>
  </si>
  <si>
    <t>"Update the Financials tab actuals: total users = X, paid users = Y, monthly revenue = Z. Recalculate everything."</t>
  </si>
  <si>
    <t>Master inputs refreshed; scenarios re-baseline.</t>
  </si>
  <si>
    <t>"Audit my Fite repo for any new features I've shipped that aren't in the Features tab. Promote them."</t>
  </si>
  <si>
    <t>Features tab stays in sync with code.</t>
  </si>
  <si>
    <t>"Run npm outdated in my repo, list the upgrades, and tell me which are safe vs. risky for Fite."</t>
  </si>
  <si>
    <t>Update watchlist gets prioritized.</t>
  </si>
  <si>
    <t>"Check if gpt-4o-mini is still the cheapest capable model on OpenAI for my use case. Suggest swap if better exists."</t>
  </si>
  <si>
    <t>AI Cost per Question stays optimal.</t>
  </si>
  <si>
    <t>Quarterly</t>
  </si>
  <si>
    <t>"Do a quarterly Fite repo health audit: dead code, unused assets, redirected routes. Output a punch list."</t>
  </si>
  <si>
    <t>Repo stays lean.</t>
  </si>
  <si>
    <t>"Summarize feedback + feature-vote submissions from the last 90 days. What's the top 3 themes?"</t>
  </si>
  <si>
    <t>Roadmap signal from real users.</t>
  </si>
  <si>
    <t>As needed</t>
  </si>
  <si>
    <t>"Promote these potential features to Live: [list]. Update the Features tab."</t>
  </si>
  <si>
    <t>Features tab transition.</t>
  </si>
  <si>
    <t>"Add this to the Update Watchlist: [package]. Risk = X."</t>
  </si>
  <si>
    <t>Watchlist stays current.</t>
  </si>
  <si>
    <t>"Stress-test the What-If calculator at [user count]. Tell me if any service tier breaks."</t>
  </si>
  <si>
    <t>Confirms tier triggers fire correctly.</t>
  </si>
  <si>
    <t>FEATURES</t>
  </si>
  <si>
    <t>Live features (top) and the potential roadmap (bottom). Status + priority drive the roadmap order.</t>
  </si>
  <si>
    <t>1.  LIVE FEATURES  (currently shipped)</t>
  </si>
  <si>
    <t>Feature</t>
  </si>
  <si>
    <t>What it does</t>
  </si>
  <si>
    <t>Tier</t>
  </si>
  <si>
    <t>Cost Type</t>
  </si>
  <si>
    <t>API/Service</t>
  </si>
  <si>
    <t>Stack Touchpoint</t>
  </si>
  <si>
    <t>Cinematic landing experience</t>
  </si>
  <si>
    <t>169-frame WebP scroll-driven hero with GSAP ScrollTrigger; mobile sub-sampled.</t>
  </si>
  <si>
    <t>Public</t>
  </si>
  <si>
    <t>Asset</t>
  </si>
  <si>
    <t>Vercel CDN</t>
  </si>
  <si>
    <t>pages/index.js, /public/frames</t>
  </si>
  <si>
    <t>Heavy on bandwidth — watch Vercel cap.</t>
  </si>
  <si>
    <t>Question generation</t>
  </si>
  <si>
    <t>AI-generated finance questions by category/difficulty/math.</t>
  </si>
  <si>
    <t>Both</t>
  </si>
  <si>
    <t>Per-call</t>
  </si>
  <si>
    <t>api/question.js</t>
  </si>
  <si>
    <t>Free users limited to 5/day.</t>
  </si>
  <si>
    <t>Model answer reveal</t>
  </si>
  <si>
    <t>On-demand markdown model answer for any generated question.</t>
  </si>
  <si>
    <t>api/question.js (action='answer')</t>
  </si>
  <si>
    <t>2nd OpenAI call after generate.</t>
  </si>
  <si>
    <t>AI grading + score</t>
  </si>
  <si>
    <t>Submit user answer; receive score + feedback.</t>
  </si>
  <si>
    <t>Premium</t>
  </si>
  <si>
    <t>api/grade.js</t>
  </si>
  <si>
    <t>Blank answer auto-scores 0.</t>
  </si>
  <si>
    <t>Interview mode</t>
  </si>
  <si>
    <t>4-question structured mock interview with scenario, response, debrief.</t>
  </si>
  <si>
    <t>Per-call ×9</t>
  </si>
  <si>
    <t>api/interview.js</t>
  </si>
  <si>
    <t>Single endpoint dispatches 3 actions.</t>
  </si>
  <si>
    <t>History log</t>
  </si>
  <si>
    <t>Last 100 entries (questions + interviews) per user.</t>
  </si>
  <si>
    <t>Storage</t>
  </si>
  <si>
    <t>api/history.js, src/HistoryDark.js</t>
  </si>
  <si>
    <t>LPUSH + LTRIM 100.</t>
  </si>
  <si>
    <t>Stats dashboard</t>
  </si>
  <si>
    <t>Streaks, averages, category and difficulty breakdowns.</t>
  </si>
  <si>
    <t>Compute</t>
  </si>
  <si>
    <t>src/StatsPage.js</t>
  </si>
  <si>
    <t>Pulls same history list.</t>
  </si>
  <si>
    <t>Custom descriptor (prompt)</t>
  </si>
  <si>
    <t>Premium-only custom topical filter on generation.</t>
  </si>
  <si>
    <t>Dashboard control</t>
  </si>
  <si>
    <t>Adds to user prompt.</t>
  </si>
  <si>
    <t>Practice timer</t>
  </si>
  <si>
    <t>Toggle + presets (60/120/180/300s).</t>
  </si>
  <si>
    <t>UI</t>
  </si>
  <si>
    <t>—</t>
  </si>
  <si>
    <t>src/Dashboard.js</t>
  </si>
  <si>
    <t>Pause/resume/reset.</t>
  </si>
  <si>
    <t>Feature voting</t>
  </si>
  <si>
    <t>Premium-only roadmap vote with email-on-submit.</t>
  </si>
  <si>
    <t>Per-submit</t>
  </si>
  <si>
    <t>src/SubmissionPage.js, api/feedback.js</t>
  </si>
  <si>
    <t>Stored in vote:submissions.</t>
  </si>
  <si>
    <t>Public feedback</t>
  </si>
  <si>
    <t>Open feedback form with email-on-submit.</t>
  </si>
  <si>
    <t>/feedback</t>
  </si>
  <si>
    <t>Anon or signed-in OK.</t>
  </si>
  <si>
    <t>Auth (email + Google OAuth)</t>
  </si>
  <si>
    <t>Sign-up, sign-in, email verification, password reset, account mgmt.</t>
  </si>
  <si>
    <t>Per-MAU</t>
  </si>
  <si>
    <t>src/auth/*</t>
  </si>
  <si>
    <t>Free up to 10k MAU.</t>
  </si>
  <si>
    <t>Stripe subscription</t>
  </si>
  <si>
    <t>Checkout to subscribe; billing portal for self-serve.</t>
  </si>
  <si>
    <t>% per tx</t>
  </si>
  <si>
    <t>api/checkout.js, api/portal.js, api/webhook.js</t>
  </si>
  <si>
    <t>2.9% + $0.30.</t>
  </si>
  <si>
    <t>Webhook-driven paid state</t>
  </si>
  <si>
    <t>Stripe webhook flips paid:{userId} in Redis.</t>
  </si>
  <si>
    <t>api/webhook.js</t>
  </si>
  <si>
    <t>Cancellation also writes back.</t>
  </si>
  <si>
    <t>Page transition cover</t>
  </si>
  <si>
    <t>Smooth full-page reveal on route change.</t>
  </si>
  <si>
    <t>pages/_app.js</t>
  </si>
  <si>
    <t>motion/react driven.</t>
  </si>
  <si>
    <t>Animated auth modal</t>
  </si>
  <si>
    <t>Custom Clerk-backed modal w/ shake/error states.</t>
  </si>
  <si>
    <t>src/auth/AuthCard.js</t>
  </si>
  <si>
    <t>Shared with /sign-in fullpage.</t>
  </si>
  <si>
    <t>Account management panel</t>
  </si>
  <si>
    <t>Profile / Security / Sessions / Danger tabs.</t>
  </si>
  <si>
    <t>src/auth/AccountPanel.js</t>
  </si>
  <si>
    <t>Includes account delete.</t>
  </si>
  <si>
    <t>Aggregate question counter</t>
  </si>
  <si>
    <t>Site-wide stats:total_questions in Redis.</t>
  </si>
  <si>
    <t>Internal</t>
  </si>
  <si>
    <t>api/total-questions.js</t>
  </si>
  <si>
    <t>Optional admin-secret header.</t>
  </si>
  <si>
    <t>Anti-repeat question cache</t>
  </si>
  <si>
    <t>localStorage skips questions seen in last 24h.</t>
  </si>
  <si>
    <t>Client</t>
  </si>
  <si>
    <t>Up to 5 retries on dup.</t>
  </si>
  <si>
    <t>How to promote a Potential feature to Live  →  set its Status below to 'Live', then ask Claude: "Promote the features marked Live in the Potential table to the Live Features table on the Features tab." Claude will move them and clear the row. Manual cut-paste also works.</t>
  </si>
  <si>
    <t>2.  POTENTIAL FEATURES  (roadmap)</t>
  </si>
  <si>
    <t>Rank</t>
  </si>
  <si>
    <t>What it would do</t>
  </si>
  <si>
    <t>Est. Effort</t>
  </si>
  <si>
    <t>Est. AI Cost</t>
  </si>
  <si>
    <t>Notes / Dependencies</t>
  </si>
  <si>
    <t>Adaptive difficulty</t>
  </si>
  <si>
    <t>Auto-adjust difficulty based on user score history.</t>
  </si>
  <si>
    <t>Backlog</t>
  </si>
  <si>
    <t>M (3d)</t>
  </si>
  <si>
    <t>Low (no extra AI)</t>
  </si>
  <si>
    <t>Live mock interviews (real-time)</t>
  </si>
  <si>
    <t>Voice/video with AI interviewer for paid tier.</t>
  </si>
  <si>
    <t>XL (2+wk)</t>
  </si>
  <si>
    <t>High (TTS+STT+LLM)</t>
  </si>
  <si>
    <t>Deep analytics + heat-maps</t>
  </si>
  <si>
    <t>Time-of-day, accuracy by sub-topic, weakness map.</t>
  </si>
  <si>
    <t>Guided study plans</t>
  </si>
  <si>
    <t>30/60/90-day plan generated for the user's target role.</t>
  </si>
  <si>
    <t>Medium (one-time gen)</t>
  </si>
  <si>
    <t>Modeling practice (Excel files)</t>
  </si>
  <si>
    <t>DCF, LBO, M&amp;A model walk-throughs with .xlsx download.</t>
  </si>
  <si>
    <t>L (1wk)</t>
  </si>
  <si>
    <t>Low (templates)</t>
  </si>
  <si>
    <t>Peer leaderboards</t>
  </si>
  <si>
    <t>Opt-in weekly leaderboard for paid users.</t>
  </si>
  <si>
    <t>Referral program</t>
  </si>
  <si>
    <t>Free-month for each paid referral.</t>
  </si>
  <si>
    <t>Stripe coupons</t>
  </si>
  <si>
    <t>Annual pricing tier</t>
  </si>
  <si>
    <t>Discounted yearly subscription option in Stripe.</t>
  </si>
  <si>
    <t>S (1d)</t>
  </si>
  <si>
    <t>Mobile-app shell (PWA)</t>
  </si>
  <si>
    <t>Installable PWA for iOS/Android without app stores.</t>
  </si>
  <si>
    <t>Question bank export</t>
  </si>
  <si>
    <t>Premium download of all generated history as CSV/PDF.</t>
  </si>
  <si>
    <t>Exam mode (timed full set)</t>
  </si>
  <si>
    <t>20-question timed exam with proctored feel.</t>
  </si>
  <si>
    <t>Medium (20×AI)</t>
  </si>
  <si>
    <t>Anki flashcard export</t>
  </si>
  <si>
    <t>Export 'Hard' graded questions as .apkg deck.</t>
  </si>
  <si>
    <t>Discord/Slack community</t>
  </si>
  <si>
    <t>Closed community for paid users; access from /account.</t>
  </si>
  <si>
    <t>Free (Discord)</t>
  </si>
  <si>
    <t>Affiliate program</t>
  </si>
  <si>
    <t>Commission for influencers; tracked via Stripe metadata.</t>
  </si>
  <si>
    <t>AI personality/voice presets</t>
  </si>
  <si>
    <t>Choose interviewer style (PE Partner, MD Tough, etc.).</t>
  </si>
  <si>
    <t>Prompt only</t>
  </si>
  <si>
    <t>B2B / Team accounts</t>
  </si>
  <si>
    <t>Bulk seats for university clubs.</t>
  </si>
  <si>
    <t>Stripe + Clerk org</t>
  </si>
  <si>
    <t>Email digest (weekly progress)</t>
  </si>
  <si>
    <t>Weekly recap of stats + suggested practice topics.</t>
  </si>
  <si>
    <t>Resend (cheap)</t>
  </si>
  <si>
    <t>Dark/Light theme toggle</t>
  </si>
  <si>
    <t>Optional light theme on dashboard.</t>
  </si>
  <si>
    <t>Question explanations w/ sources</t>
  </si>
  <si>
    <t>Cite WSO/IB textbooks where relevant.</t>
  </si>
  <si>
    <t>Slight prompt cost</t>
  </si>
  <si>
    <t>Rage-quit / streak insurance</t>
  </si>
  <si>
    <t>1 free streak-save per month for paid users.</t>
  </si>
  <si>
    <t>Stats logic</t>
  </si>
  <si>
    <t>FINANCIALS</t>
  </si>
  <si>
    <t>Single-source-of-truth inputs drive every projection. Edit yellow cells only.</t>
  </si>
  <si>
    <t>1.  MASTER INPUTS  (edit only the yellow cells)</t>
  </si>
  <si>
    <t>Users, Pricing &amp; Engagement</t>
  </si>
  <si>
    <t>Input</t>
  </si>
  <si>
    <t>Value</t>
  </si>
  <si>
    <t>Unit</t>
  </si>
  <si>
    <t>Current Total Users</t>
  </si>
  <si>
    <t>users</t>
  </si>
  <si>
    <t>All signed-up users. Drives every scenario unless overridden.</t>
  </si>
  <si>
    <t>Free → Paid Conversion Rate</t>
  </si>
  <si>
    <t>%</t>
  </si>
  <si>
    <t>Industry SaaS freemium average is 2–5%.</t>
  </si>
  <si>
    <t>Subscription Price</t>
  </si>
  <si>
    <t>$/mo</t>
  </si>
  <si>
    <t>Current Stripe price. Edit if you change Stripe price.</t>
  </si>
  <si>
    <t>Active User % of Total</t>
  </si>
  <si>
    <t>DAU/MAU ratio. 40% = healthy active engagement.</t>
  </si>
  <si>
    <t>Free Daily Question Limit</t>
  </si>
  <si>
    <t>Q/day</t>
  </si>
  <si>
    <t>Hard cap in api/question.js. Drives free-user AI cost ceiling.</t>
  </si>
  <si>
    <t>Free User Avg Daily Questions</t>
  </si>
  <si>
    <t>Avg actually generated by free users (limit + behavior).</t>
  </si>
  <si>
    <t>Paid User Avg Daily Questions</t>
  </si>
  <si>
    <t>Paid users practice more — set realistically.</t>
  </si>
  <si>
    <t>Paid User Avg Daily Interviews</t>
  </si>
  <si>
    <t>int/day</t>
  </si>
  <si>
    <t>Interview = 4 questions + grading + debrief (~9 AI calls).</t>
  </si>
  <si>
    <t>AI Cost per Single Question</t>
  </si>
  <si>
    <t>$</t>
  </si>
  <si>
    <t>Generate + reveal + grade. ~500in/400out tokens at gpt-4o-mini.</t>
  </si>
  <si>
    <t>AI Cost per Full Interview</t>
  </si>
  <si>
    <t>4 questions + 4 grades + scenario + debrief.</t>
  </si>
  <si>
    <t>Stripe Fee %</t>
  </si>
  <si>
    <t>Standard 2.9%.</t>
  </si>
  <si>
    <t>Stripe Fee Fixed</t>
  </si>
  <si>
    <t>Per successful transaction.</t>
  </si>
  <si>
    <t>Fixed Service Costs (current monthly)</t>
  </si>
  <si>
    <t>Monthly $</t>
  </si>
  <si>
    <t>Vercel Hosting</t>
  </si>
  <si>
    <t>Hobby</t>
  </si>
  <si>
    <t>Free up to 100 GB bandwidth/mo. Pro = $20/mo when exceeded.</t>
  </si>
  <si>
    <t>Clerk Auth</t>
  </si>
  <si>
    <t>Free</t>
  </si>
  <si>
    <t>Free up to 10k MAU. Pro = $25/mo + $0.02/MAU over.</t>
  </si>
  <si>
    <t>Pay-as-go</t>
  </si>
  <si>
    <t>Free 10k cmd/day; ~$0.20 per 100k commands after.</t>
  </si>
  <si>
    <t>OpenAI API</t>
  </si>
  <si>
    <t>Usage-based</t>
  </si>
  <si>
    <t>Calculated per-user below — variable, not fixed.</t>
  </si>
  <si>
    <t>Resend Email</t>
  </si>
  <si>
    <t>Free 3k emails/mo. Pro = $20/mo when exceeded.</t>
  </si>
  <si>
    <t>Standard</t>
  </si>
  <si>
    <t>% + fixed fee per transaction. No monthly fee.</t>
  </si>
  <si>
    <t>Domain (fitefinance.com)</t>
  </si>
  <si>
    <t>Annual</t>
  </si>
  <si>
    <t>~$12/yr ÷ 12. Edit if registrar charges differ.</t>
  </si>
  <si>
    <t>Other / Misc</t>
  </si>
  <si>
    <t>Reserved for future tools.</t>
  </si>
  <si>
    <t>TOTAL FIXED MONTHLY COSTS</t>
  </si>
  <si>
    <t>2.  GROWTH SCENARIO PROJECTIONS</t>
  </si>
  <si>
    <t>Auto-calculated. Each scenario substitutes its user count for the master input.</t>
  </si>
  <si>
    <t>Metric</t>
  </si>
  <si>
    <t>Small (100)</t>
  </si>
  <si>
    <t>Medium (1k)</t>
  </si>
  <si>
    <t>Large (10k)</t>
  </si>
  <si>
    <t>Viral (100k)</t>
  </si>
  <si>
    <t>Mega (500k)</t>
  </si>
  <si>
    <t>Total Users</t>
  </si>
  <si>
    <t>Hardcoded scenario sizes</t>
  </si>
  <si>
    <t>Active Users</t>
  </si>
  <si>
    <t>→ Total × Active %</t>
  </si>
  <si>
    <t>Paid Subscribers</t>
  </si>
  <si>
    <t>→ Total × Conv %</t>
  </si>
  <si>
    <t>Free Active Users</t>
  </si>
  <si>
    <t>→ Active − Paid</t>
  </si>
  <si>
    <t>REVENUE</t>
  </si>
  <si>
    <t>Monthly Recurring Revenue (MRR)</t>
  </si>
  <si>
    <t>→ Paid × Sub Price</t>
  </si>
  <si>
    <t>Annual Recurring Revenue (ARR)</t>
  </si>
  <si>
    <t>→ MRR × 12</t>
  </si>
  <si>
    <t>Stripe Fees (monthly)</t>
  </si>
  <si>
    <t>→ MRR×2.9% + 0.30/sub</t>
  </si>
  <si>
    <t>Net Revenue (after Stripe)</t>
  </si>
  <si>
    <t>→ MRR − Stripe Fees</t>
  </si>
  <si>
    <t>COSTS</t>
  </si>
  <si>
    <t>AI Cost — Free Users (monthly)</t>
  </si>
  <si>
    <t>FreeActive×min(avgQ,limit)×30×$/Q</t>
  </si>
  <si>
    <t>AI Cost — Paid Users (monthly)</t>
  </si>
  <si>
    <t>Paid×30×(Q×$Q + Int×$Int)</t>
  </si>
  <si>
    <t>Total AI Cost</t>
  </si>
  <si>
    <t>→ Free + Paid AI</t>
  </si>
  <si>
    <t>Fixed Service Costs (with tier triggers)</t>
  </si>
  <si>
    <t>Step-ups at tier thresholds</t>
  </si>
  <si>
    <t>Total Monthly Costs</t>
  </si>
  <si>
    <t>→ AI + Fixed</t>
  </si>
  <si>
    <t>MARGINS</t>
  </si>
  <si>
    <t>Monthly Profit (Net Rev − Total Cost)</t>
  </si>
  <si>
    <t>→ Net Rev − Total Cost</t>
  </si>
  <si>
    <t>Profit Margin</t>
  </si>
  <si>
    <t>→ Profit / Net Rev</t>
  </si>
  <si>
    <t>Annual Profit</t>
  </si>
  <si>
    <t>→ Profit × 12</t>
  </si>
  <si>
    <t>Cost per Active User</t>
  </si>
  <si>
    <t>→ Total Cost / Active</t>
  </si>
  <si>
    <t>Revenue per Active User (ARPU)</t>
  </si>
  <si>
    <t>→ Net Rev / Active</t>
  </si>
  <si>
    <t>3.  WHAT-IF CALCULATOR  (custom user count)</t>
  </si>
  <si>
    <t>Type any number into the yellow cell below. Whole P&amp;L recalculates instantly.</t>
  </si>
  <si>
    <t>Hypothetical User Count</t>
  </si>
  <si>
    <t xml:space="preserve">  ← edit this cell</t>
  </si>
  <si>
    <t>Line Item</t>
  </si>
  <si>
    <t>Formula</t>
  </si>
  <si>
    <t>input</t>
  </si>
  <si>
    <t>→ Slider × Active%</t>
  </si>
  <si>
    <t>→ Slider × Conv%</t>
  </si>
  <si>
    <t>MRR</t>
  </si>
  <si>
    <t>→ Paid × Price</t>
  </si>
  <si>
    <t>ARR</t>
  </si>
  <si>
    <t>Stripe Fees</t>
  </si>
  <si>
    <t>→ 2.9% + $0.30/sub</t>
  </si>
  <si>
    <t>Net Revenue</t>
  </si>
  <si>
    <t>→ MRR − Fees</t>
  </si>
  <si>
    <t>AI Cost — Free</t>
  </si>
  <si>
    <t>→ FreeActive×Q×30×$/Q</t>
  </si>
  <si>
    <t>AI Cost — Paid</t>
  </si>
  <si>
    <t>→ Paid×30×(Q+Int)</t>
  </si>
  <si>
    <t>Fixed Service Costs (tiered)</t>
  </si>
  <si>
    <t>→ base + tier step-ups</t>
  </si>
  <si>
    <t>Total Monthly Cost</t>
  </si>
  <si>
    <t>→ AI Free + AI Paid + Fixed</t>
  </si>
  <si>
    <t>Monthly Profit</t>
  </si>
  <si>
    <t>Breakeven Paid Users (current price)</t>
  </si>
  <si>
    <t>Paid users needed to cover costs at this scale</t>
  </si>
  <si>
    <t>4.  TIER-UPGRADE TRIGGERS  (cost step-ups by usage)</t>
  </si>
  <si>
    <t>Free / Current Tier</t>
  </si>
  <si>
    <t>Trigger Threshold</t>
  </si>
  <si>
    <t>Next Tier</t>
  </si>
  <si>
    <t>Step Cost ($)</t>
  </si>
  <si>
    <t>Linked Limit</t>
  </si>
  <si>
    <t>Hobby (Free)</t>
  </si>
  <si>
    <t>100 GB bandwidth/mo</t>
  </si>
  <si>
    <t>Pro</t>
  </si>
  <si>
    <t>Upgrade in Vercel dashboard</t>
  </si>
  <si>
    <t>≈ 5k–10k MAU</t>
  </si>
  <si>
    <t>Required for commercial use beyond hobby.</t>
  </si>
  <si>
    <t>Free (10k MAU)</t>
  </si>
  <si>
    <t>10,000 monthly active</t>
  </si>
  <si>
    <t>Pro + per-user</t>
  </si>
  <si>
    <t>Upgrade in Clerk dashboard</t>
  </si>
  <si>
    <t>10,001+ MAU</t>
  </si>
  <si>
    <t>$0.02 per MAU above 10k after $25 base.</t>
  </si>
  <si>
    <t>Free (10k cmd/d)</t>
  </si>
  <si>
    <t>10k commands/day</t>
  </si>
  <si>
    <t>Pay-as-you-go</t>
  </si>
  <si>
    <t>Auto via dashboard</t>
  </si>
  <si>
    <t>Variable</t>
  </si>
  <si>
    <t>$0.20 per 100k cmds. Each Q ≈ 2-3 cmds.</t>
  </si>
  <si>
    <t>Tier 1</t>
  </si>
  <si>
    <t>Spending threshold met</t>
  </si>
  <si>
    <t>Tier 2/3/etc.</t>
  </si>
  <si>
    <t>Auto-promoted by OpenAI</t>
  </si>
  <si>
    <t>Spend caps</t>
  </si>
  <si>
    <t>Tier ups raise rate limits, no add'l fee.</t>
  </si>
  <si>
    <t>Free (3k/mo)</t>
  </si>
  <si>
    <t>3,000 emails/month</t>
  </si>
  <si>
    <t>Upgrade in Resend dashboard</t>
  </si>
  <si>
    <t>Feedback emails</t>
  </si>
  <si>
    <t>Hits at significant feedback volume.</t>
  </si>
  <si>
    <t>n/a (per-tx fee)</t>
  </si>
  <si>
    <t>Always 2.9% + $0.30 per successful charge.</t>
  </si>
  <si>
    <t>Domain</t>
  </si>
  <si>
    <t>Annual renewal</t>
  </si>
  <si>
    <t>Yearly billing</t>
  </si>
  <si>
    <t>Renew</t>
  </si>
  <si>
    <t>Renew via registrar</t>
  </si>
  <si>
    <t>Yearly</t>
  </si>
  <si>
    <t>Auto-renew recommended.</t>
  </si>
  <si>
    <t>ARCHITECTURE &amp; STRUCTURE</t>
  </si>
  <si>
    <t>How fitefinance.com is wired together — stack, routes, APIs, data flow.</t>
  </si>
  <si>
    <t>1.  TECH STACK</t>
  </si>
  <si>
    <t>Layer</t>
  </si>
  <si>
    <t>Tool / Service</t>
  </si>
  <si>
    <t>Plan / Version</t>
  </si>
  <si>
    <t>Role</t>
  </si>
  <si>
    <t>Frontend Framework</t>
  </si>
  <si>
    <t>Next.js (Pages Router)</t>
  </si>
  <si>
    <t>App shell; SSR + serverless functions in /api.</t>
  </si>
  <si>
    <t>UI Library</t>
  </si>
  <si>
    <t>React</t>
  </si>
  <si>
    <t>Component model.</t>
  </si>
  <si>
    <t>Animation</t>
  </si>
  <si>
    <t>motion/react + GSAP</t>
  </si>
  <si>
    <t>UI transitions; landing scroll hero.</t>
  </si>
  <si>
    <t>Styling</t>
  </si>
  <si>
    <t>CSS Modules + global CSS</t>
  </si>
  <si>
    <t>src/index.css, App.css, LandingPage.css, scoped style jsx.</t>
  </si>
  <si>
    <t>Auth</t>
  </si>
  <si>
    <t>Sign-up/in, sessions, account mgmt, OAuth (Google).</t>
  </si>
  <si>
    <t>Payments</t>
  </si>
  <si>
    <t>Latest API</t>
  </si>
  <si>
    <t>Subscription checkout + Billing Portal.</t>
  </si>
  <si>
    <t>AI</t>
  </si>
  <si>
    <t>gpt-4o-mini</t>
  </si>
  <si>
    <t>Question gen, answers, grading, interview.</t>
  </si>
  <si>
    <t>KV / Storage</t>
  </si>
  <si>
    <t>Paid flag, history, feedback, vote, total-Q counter.</t>
  </si>
  <si>
    <t>Email</t>
  </si>
  <si>
    <t>Feedback + feature-vote notifications.</t>
  </si>
  <si>
    <t>Analytics</t>
  </si>
  <si>
    <t>Built-in</t>
  </si>
  <si>
    <t>Traffic + page views.</t>
  </si>
  <si>
    <t>Performance</t>
  </si>
  <si>
    <t>Vercel Speed Insights</t>
  </si>
  <si>
    <t>Real-user core web vitals.</t>
  </si>
  <si>
    <t>Hosting / CI</t>
  </si>
  <si>
    <t>Build + deploy + serverless functions + CDN.</t>
  </si>
  <si>
    <t>fitefinance.com</t>
  </si>
  <si>
    <t>Custom domain via Vercel.</t>
  </si>
  <si>
    <t>Fonts</t>
  </si>
  <si>
    <t>Google Fonts</t>
  </si>
  <si>
    <t>Inter, Manrope, Material Symbols</t>
  </si>
  <si>
    <t>Loaded in pages/_document.js.</t>
  </si>
  <si>
    <t>2.  ROUTE MAP</t>
  </si>
  <si>
    <t>Route</t>
  </si>
  <si>
    <t>File</t>
  </si>
  <si>
    <t>Visibility</t>
  </si>
  <si>
    <t>Purpose</t>
  </si>
  <si>
    <t>/</t>
  </si>
  <si>
    <t>pages/index.js</t>
  </si>
  <si>
    <t>Animated landing; GSAP scroll hero w/ 169 frames.</t>
  </si>
  <si>
    <t>/features</t>
  </si>
  <si>
    <t>pages/features.js</t>
  </si>
  <si>
    <t>Marketing/features supplemental page.</t>
  </si>
  <si>
    <t>/dashboard</t>
  </si>
  <si>
    <t>pages/dashboard.js</t>
  </si>
  <si>
    <t>Auth req'd</t>
  </si>
  <si>
    <t>Main practice surface (uses src/Dashboard.js).</t>
  </si>
  <si>
    <t>/history</t>
  </si>
  <si>
    <t>pages/history.js</t>
  </si>
  <si>
    <t>Last 100 entries from Redis history:{userId}.</t>
  </si>
  <si>
    <t>/stats</t>
  </si>
  <si>
    <t>pages/stats.js</t>
  </si>
  <si>
    <t>Streaks, averages, breakdowns.</t>
  </si>
  <si>
    <t>/account</t>
  </si>
  <si>
    <t>pages/account.js</t>
  </si>
  <si>
    <t>Profile / Security / Sessions / Danger.</t>
  </si>
  <si>
    <t>/sign-in</t>
  </si>
  <si>
    <t>pages/sign-in.js</t>
  </si>
  <si>
    <t>Full-page sign-in shell wrapping AuthCard.</t>
  </si>
  <si>
    <t>/sign-up</t>
  </si>
  <si>
    <t>pages/sign-up.js</t>
  </si>
  <si>
    <t>Full-page sign-up shell wrapping AuthCard.</t>
  </si>
  <si>
    <t>/sso-callback</t>
  </si>
  <si>
    <t>pages/sso-callback.js</t>
  </si>
  <si>
    <t>Clerk OAuth completion; noindex.</t>
  </si>
  <si>
    <t>/success</t>
  </si>
  <si>
    <t>pages/success.js</t>
  </si>
  <si>
    <t>Post-checkout celebratory landing.</t>
  </si>
  <si>
    <t>pages/feedback.js</t>
  </si>
  <si>
    <t>Feedback form (anon or signed-in).</t>
  </si>
  <si>
    <t>/feature-vote</t>
  </si>
  <si>
    <t>pages/feature-vote.js</t>
  </si>
  <si>
    <t>Roadmap vote submission.</t>
  </si>
  <si>
    <t>/privacy</t>
  </si>
  <si>
    <t>pages/privacy.js</t>
  </si>
  <si>
    <t>Privacy policy.</t>
  </si>
  <si>
    <t>/terms</t>
  </si>
  <si>
    <t>pages/terms.js</t>
  </si>
  <si>
    <t>Terms of service.</t>
  </si>
  <si>
    <t>/refunds</t>
  </si>
  <si>
    <t>pages/refunds.js</t>
  </si>
  <si>
    <t>Refund policy.</t>
  </si>
  <si>
    <t>3.  API ENDPOINTS (Vercel serverless)</t>
  </si>
  <si>
    <t>Endpoint</t>
  </si>
  <si>
    <t>Method</t>
  </si>
  <si>
    <t>Gating</t>
  </si>
  <si>
    <t>/api/question</t>
  </si>
  <si>
    <t>POST</t>
  </si>
  <si>
    <t>Free 5/day, Paid ∞</t>
  </si>
  <si>
    <t>Generate question OR model answer; SSE streaming on type='question'.</t>
  </si>
  <si>
    <t>/api/grade</t>
  </si>
  <si>
    <t>Premium-only</t>
  </si>
  <si>
    <t>Score + feedback for user answer.</t>
  </si>
  <si>
    <t>/api/interview</t>
  </si>
  <si>
    <t>Unified: action='generate'|'respond'|'debrief'.</t>
  </si>
  <si>
    <t>/api/history</t>
  </si>
  <si>
    <t>GET/POST</t>
  </si>
  <si>
    <t>List or push entry; capped to 100 LTRIM.</t>
  </si>
  <si>
    <t>/api/checkPaid</t>
  </si>
  <si>
    <t>Returns {isPaid} from Redis paid:{userId}.</t>
  </si>
  <si>
    <t>/api/checkout</t>
  </si>
  <si>
    <t>Creates Stripe checkout session.</t>
  </si>
  <si>
    <t>/api/portal</t>
  </si>
  <si>
    <t>Creates Stripe Billing Portal session.</t>
  </si>
  <si>
    <t>/api/webhook</t>
  </si>
  <si>
    <t>Stripe-signed</t>
  </si>
  <si>
    <t>checkout.session.completed → paid:{userId}=true.</t>
  </si>
  <si>
    <t>/api/price</t>
  </si>
  <si>
    <t>GET</t>
  </si>
  <si>
    <t>Returns Stripe price info.</t>
  </si>
  <si>
    <t>/api/feedback</t>
  </si>
  <si>
    <t>Stores feedback OR vote in Redis; sends Resend email.</t>
  </si>
  <si>
    <t>/api/total-questions</t>
  </si>
  <si>
    <t>Public/Admin</t>
  </si>
  <si>
    <t>Aggregate stats:total_questions counter.</t>
  </si>
  <si>
    <t>/api/admin-users</t>
  </si>
  <si>
    <t>Admin secret</t>
  </si>
  <si>
    <t>Clerk users summary; x-admin-secret required.</t>
  </si>
  <si>
    <t>4.  QUESTION GENERATION FLOW</t>
  </si>
  <si>
    <t>Step</t>
  </si>
  <si>
    <t>Detail</t>
  </si>
  <si>
    <t>1</t>
  </si>
  <si>
    <t>User opens /dashboard</t>
  </si>
  <si>
    <t>Frontend</t>
  </si>
  <si>
    <t>src/Dashboard.js — practice surface mounted.</t>
  </si>
  <si>
    <t>2</t>
  </si>
  <si>
    <t>User picks category / difficulty / math toggle</t>
  </si>
  <si>
    <t>Local React state; snapshot taken at generation time.</t>
  </si>
  <si>
    <t>3</t>
  </si>
  <si>
    <t>Clicks Generate → POST /api/question</t>
  </si>
  <si>
    <t>Network</t>
  </si>
  <si>
    <t>type='question'; payload includes filters + optional custom prompt.</t>
  </si>
  <si>
    <t>4</t>
  </si>
  <si>
    <t>Backend hits Redis daily-limit key</t>
  </si>
  <si>
    <t>Redis</t>
  </si>
  <si>
    <t>questions:{userId|ip}:{YYYY-MM-DD}.</t>
  </si>
  <si>
    <t>5</t>
  </si>
  <si>
    <t>If free user &gt;= 5 today → reject; else increment</t>
  </si>
  <si>
    <t>Backend</t>
  </si>
  <si>
    <t>Returns 429-style payload to UI when capped.</t>
  </si>
  <si>
    <t>6</t>
  </si>
  <si>
    <t>Backend builds prompt + few-shot examples</t>
  </si>
  <si>
    <t>api/_questionBank.js + api/_openai.js.</t>
  </si>
  <si>
    <t>7</t>
  </si>
  <si>
    <t>OpenAI gpt-4o-mini call (SSE streamed)</t>
  </si>
  <si>
    <t>Streamed back to frontend chunk-by-chunk for progressive UI.</t>
  </si>
  <si>
    <t>8</t>
  </si>
  <si>
    <t>Frontend renders question; cache in localStorage</t>
  </si>
  <si>
    <t>questionHistory key — 24h dedup, up to 5 retries.</t>
  </si>
  <si>
    <t>9</t>
  </si>
  <si>
    <t>Increment Redis stats:total_questions</t>
  </si>
  <si>
    <t>Aggregate atomic counter.</t>
  </si>
  <si>
    <t>10</t>
  </si>
  <si>
    <t>User submits answer → POST /api/grade</t>
  </si>
  <si>
    <t>Premium-only path; gated server-side.</t>
  </si>
  <si>
    <t>11</t>
  </si>
  <si>
    <t>OpenAI grading call → score + feedback</t>
  </si>
  <si>
    <t>Returns {score 0-10, feedback markdown}.</t>
  </si>
  <si>
    <t>12</t>
  </si>
  <si>
    <t>Optional: POST /api/history with full entry</t>
  </si>
  <si>
    <t>LPUSH history:{userId}, LTRIM 0..99.</t>
  </si>
  <si>
    <t>5.  REDIS DATA MAP</t>
  </si>
  <si>
    <t>Key Pattern</t>
  </si>
  <si>
    <t>Type</t>
  </si>
  <si>
    <t>Set / Cleared By</t>
  </si>
  <si>
    <t>paid:{userId}</t>
  </si>
  <si>
    <t>string</t>
  </si>
  <si>
    <t>Premium flag — true when subscription active.</t>
  </si>
  <si>
    <t>history:{userId}</t>
  </si>
  <si>
    <t>list</t>
  </si>
  <si>
    <t>/api/history (LPUSH, LTRIM 100)</t>
  </si>
  <si>
    <t>Last 100 entries (Q + interviews).</t>
  </si>
  <si>
    <t>questions:{userId|ip}:{YYYY-MM-DD}</t>
  </si>
  <si>
    <t>counter</t>
  </si>
  <si>
    <t>Free-user 5/day rate-limit counter.</t>
  </si>
  <si>
    <t>stats:total_questions</t>
  </si>
  <si>
    <t>/api/question, /api/interview</t>
  </si>
  <si>
    <t>Aggregate generated count.</t>
  </si>
  <si>
    <t>feedback</t>
  </si>
  <si>
    <t>Last 500 feedback submissions.</t>
  </si>
  <si>
    <t>vote:submissions</t>
  </si>
  <si>
    <t>/api/feedback (type='vote')</t>
  </si>
  <si>
    <t>Last 500 feature-vote submissions.</t>
  </si>
  <si>
    <t>6.  PREMIUM GATING MAP</t>
  </si>
  <si>
    <t>Capability</t>
  </si>
  <si>
    <t>Where Enforced</t>
  </si>
  <si>
    <t>Daily question generation</t>
  </si>
  <si>
    <t>5/day</t>
  </si>
  <si>
    <t>Unlimited</t>
  </si>
  <si>
    <t>/api/question (Redis counter).</t>
  </si>
  <si>
    <t>Yes</t>
  </si>
  <si>
    <t>/api/grade gating + paid:{userId}.</t>
  </si>
  <si>
    <t>History (last 100)</t>
  </si>
  <si>
    <t>src/HistoryDark.js + /api/history.</t>
  </si>
  <si>
    <t>src/StatsPage.js.</t>
  </si>
  <si>
    <t>Interview mode (4 Q)</t>
  </si>
  <si>
    <t>/api/interview gating.</t>
  </si>
  <si>
    <t>src/Dashboard.js conditional render.</t>
  </si>
  <si>
    <t>Custom descriptor prompt</t>
  </si>
  <si>
    <t>Dashboard control.</t>
  </si>
  <si>
    <t>/feature-vote (paidOnly).</t>
  </si>
  <si>
    <t>/feedback.</t>
  </si>
  <si>
    <t>7.  ENVIRONMENT VARIABLES</t>
  </si>
  <si>
    <t>Required?</t>
  </si>
  <si>
    <t>NEXT_PUBLIC_CLERK_PUBLISHABLE_KEY</t>
  </si>
  <si>
    <t>Public; safe to expose.</t>
  </si>
  <si>
    <t>CLERK_SECRET_KEY</t>
  </si>
  <si>
    <t>Server only. Used by /api/admin-users.</t>
  </si>
  <si>
    <t>STRIPE_SECRET_KEY</t>
  </si>
  <si>
    <t>Server only.</t>
  </si>
  <si>
    <t>STRIPE_PRICE_ID</t>
  </si>
  <si>
    <t>Subscription price ID.</t>
  </si>
  <si>
    <t>STRIPE_WEBHOOK_SECRET</t>
  </si>
  <si>
    <t>Verify webhook signatures.</t>
  </si>
  <si>
    <t>NEXT_PUBLIC_URL</t>
  </si>
  <si>
    <t>App</t>
  </si>
  <si>
    <t>Used in checkout success_url / cancel_url.</t>
  </si>
  <si>
    <t>OPENAI_API_KEY</t>
  </si>
  <si>
    <t>UPSTASH_REDIS_REST_URL</t>
  </si>
  <si>
    <t>Upstash</t>
  </si>
  <si>
    <t>REST URL.</t>
  </si>
  <si>
    <t>UPSTASH_REDIS_REST_TOKEN</t>
  </si>
  <si>
    <t>Bearer token.</t>
  </si>
  <si>
    <t>ADMIN_SECRET</t>
  </si>
  <si>
    <t>Optional</t>
  </si>
  <si>
    <t>Protects /api/admin-users + /api/total-questions.</t>
  </si>
  <si>
    <t>RESEND_API_KEY</t>
  </si>
  <si>
    <t>If unset, feedback emails skipped silently.</t>
  </si>
  <si>
    <t>FEEDBACK_FROM_EMAIL</t>
  </si>
  <si>
    <t>Defaults to feedback@fitefinance.com.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</si>
</sst>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0.0%"/>
    <numFmt numFmtId="166" formatCode="\$#,##0.00;&quot;($&quot;#,##0.00\);\-"/>
    <numFmt numFmtId="167" formatCode="\$#,##0.0000;&quot;($&quot;#,##0.0000\);\-"/>
    <numFmt numFmtId="168" formatCode="\$#,##0.00"/>
    <numFmt numFmtId="169" formatCode="\$#,##0"/>
    <numFmt numFmtId="170" formatCode="\$#,##0;&quot;($&quot;#,##0\);\-"/>
    <numFmt numFmtId="171" formatCode="0.0%;\(0.0%\);\-"/>
    <numFmt numFmtId="172" formatCode="\$#,##0.000"/>
  </numFmts>
  <fonts count="2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1"/>
      <color rgb="FFFFFFFF"/>
      <name val="Arial"/>
      <charset val="1"/>
    </font>
    <font>
      <b/>
      <sz val="12"/>
      <color rgb="FF1A1A1A"/>
      <name val="Arial"/>
      <charset val="1"/>
    </font>
    <font>
      <i/>
      <sz val="9"/>
      <color rgb="FF556677"/>
      <name val="Arial"/>
      <charset val="1"/>
    </font>
    <font>
      <b/>
      <sz val="10"/>
      <color rgb="FF8B0000"/>
      <name val="Arial"/>
      <charset val="1"/>
    </font>
    <font>
      <b/>
      <sz val="10"/>
      <color rgb="FF8B6914"/>
      <name val="Arial"/>
      <charset val="1"/>
    </font>
    <font>
      <b/>
      <sz val="10"/>
      <color rgb="FF1F7A3A"/>
      <name val="Arial"/>
      <charset val="1"/>
    </font>
    <font>
      <b/>
      <sz val="10"/>
      <color rgb="FFC9A84C"/>
      <name val="Arial"/>
      <charset val="1"/>
    </font>
    <font>
      <i/>
      <sz val="10"/>
      <color rgb="FF1A1A1A"/>
      <name val="Arial"/>
      <charset val="1"/>
    </font>
    <font>
      <sz val="9"/>
      <color rgb="FF556677"/>
      <name val="Arial"/>
      <charset val="1"/>
    </font>
    <font>
      <b/>
      <sz val="10"/>
      <color rgb="FF0D1B2A"/>
      <name val="Arial"/>
      <charset val="1"/>
    </font>
    <font>
      <b/>
      <sz val="10"/>
      <color rgb="FF555555"/>
      <name val="Arial"/>
      <charset val="1"/>
    </font>
    <font>
      <b/>
      <sz val="11"/>
      <color rgb="FF1456A8"/>
      <name val="Arial"/>
      <charset val="1"/>
    </font>
    <font>
      <b/>
      <sz val="11"/>
      <color rgb="FF1A1A1A"/>
      <name val="Arial"/>
      <charset val="1"/>
    </font>
    <font>
      <sz val="11"/>
      <color rgb="FF1A1A1A"/>
      <name val="Arial"/>
      <charset val="1"/>
    </font>
    <font>
      <b/>
      <sz val="11"/>
      <color rgb="FF0D1B2A"/>
      <name val="Arial"/>
      <charset val="1"/>
    </font>
    <font>
      <sz val="10"/>
      <color rgb="FF1F7A3A"/>
      <name val="Arial"/>
      <charset val="1"/>
    </font>
    <font>
      <b/>
      <sz val="10"/>
      <color rgb="FF1456A8"/>
      <name val="Arial"/>
      <charset val="1"/>
    </font>
    <font>
      <i/>
      <sz val="10"/>
      <color rgb="FFC9A84C"/>
      <name val="Arial"/>
      <charset val="1"/>
    </font>
    <font>
      <b/>
      <sz val="22"/>
      <color rgb="FF04D6BF"/>
      <name val="Arial"/>
      <family val="2"/>
    </font>
    <font>
      <i/>
      <sz val="10"/>
      <color rgb="FF95A3B8"/>
      <name val="Arial"/>
      <family val="2"/>
    </font>
    <font>
      <i/>
      <sz val="10"/>
      <color theme="0" tint="-0.14999847407452621"/>
      <name val="Arial"/>
      <family val="2"/>
    </font>
    <font>
      <b/>
      <sz val="12"/>
      <color rgb="FF1A1A1A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A2A3F"/>
        <bgColor rgb="FF0D1B2A"/>
      </patternFill>
    </fill>
    <fill>
      <patternFill patternType="solid">
        <fgColor rgb="FF0D1B2A"/>
        <bgColor rgb="FF1A1A1A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EDF2F7"/>
      </patternFill>
    </fill>
    <fill>
      <patternFill patternType="solid">
        <fgColor rgb="FF1565C0"/>
        <bgColor rgb="FF1A6FB8"/>
      </patternFill>
    </fill>
    <fill>
      <patternFill patternType="solid">
        <fgColor rgb="FFFFF9D6"/>
        <bgColor rgb="FFFFF3CD"/>
      </patternFill>
    </fill>
    <fill>
      <patternFill patternType="solid">
        <fgColor rgb="FF1A6FB8"/>
        <bgColor rgb="FF1565C0"/>
      </patternFill>
    </fill>
    <fill>
      <patternFill patternType="solid">
        <fgColor rgb="FF0D4B8C"/>
        <bgColor rgb="FF1456A8"/>
      </patternFill>
    </fill>
    <fill>
      <patternFill patternType="solid">
        <fgColor rgb="FFF8D7DA"/>
        <bgColor rgb="FFE2E3E5"/>
      </patternFill>
    </fill>
    <fill>
      <patternFill patternType="solid">
        <fgColor rgb="FFFFF3CD"/>
        <bgColor rgb="FFFFF9D6"/>
      </patternFill>
    </fill>
    <fill>
      <patternFill patternType="solid">
        <fgColor rgb="FFD4EDDA"/>
        <bgColor rgb="FFD4E6F8"/>
      </patternFill>
    </fill>
    <fill>
      <patternFill patternType="solid">
        <fgColor rgb="FFD4E6F8"/>
        <bgColor rgb="FFE2E3E5"/>
      </patternFill>
    </fill>
    <fill>
      <patternFill patternType="solid">
        <fgColor rgb="FFE2E3E5"/>
        <bgColor rgb="FFD4E6F8"/>
      </patternFill>
    </fill>
    <fill>
      <patternFill patternType="solid">
        <fgColor rgb="FFEDF2F7"/>
        <bgColor rgb="FFF2F6FB"/>
      </patternFill>
    </fill>
    <fill>
      <patternFill patternType="solid">
        <fgColor rgb="FF0A1120"/>
        <bgColor indexed="64"/>
      </patternFill>
    </fill>
    <fill>
      <patternFill patternType="solid">
        <fgColor rgb="FF0A1120"/>
        <bgColor rgb="FF00CCFF"/>
      </patternFill>
    </fill>
    <fill>
      <patternFill patternType="solid">
        <fgColor rgb="FF0661E2"/>
        <bgColor rgb="FF00CCFF"/>
      </patternFill>
    </fill>
  </fills>
  <borders count="8">
    <border>
      <left/>
      <right/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C9A84C"/>
      </left>
      <right/>
      <top style="thin">
        <color rgb="FFC9A84C"/>
      </top>
      <bottom style="thin">
        <color rgb="FFC9A84C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  <border>
      <left style="thin">
        <color rgb="FFC8D2E0"/>
      </left>
      <right/>
      <top style="thin">
        <color rgb="FFC8D2E0"/>
      </top>
      <bottom style="thin">
        <color rgb="FFC8D2E0"/>
      </bottom>
      <diagonal/>
    </border>
    <border>
      <left/>
      <right/>
      <top style="thin">
        <color rgb="FFC8D2E0"/>
      </top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 style="thin">
        <color rgb="FFC8D2E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 indent="1"/>
    </xf>
    <xf numFmtId="0" fontId="13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5" fillId="9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6" fillId="7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64" fontId="16" fillId="7" borderId="4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165" fontId="16" fillId="7" borderId="4" xfId="0" applyNumberFormat="1" applyFont="1" applyFill="1" applyBorder="1" applyAlignment="1">
      <alignment horizontal="center" vertical="center" wrapText="1"/>
    </xf>
    <xf numFmtId="166" fontId="16" fillId="7" borderId="4" xfId="0" applyNumberFormat="1" applyFont="1" applyFill="1" applyBorder="1" applyAlignment="1">
      <alignment horizontal="center" vertical="center" wrapText="1"/>
    </xf>
    <xf numFmtId="167" fontId="16" fillId="7" borderId="4" xfId="0" applyNumberFormat="1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168" fontId="19" fillId="15" borderId="1" xfId="0" applyNumberFormat="1" applyFont="1" applyFill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 indent="1"/>
    </xf>
    <xf numFmtId="3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1"/>
    </xf>
    <xf numFmtId="169" fontId="17" fillId="0" borderId="1" xfId="0" applyNumberFormat="1" applyFont="1" applyBorder="1" applyAlignment="1">
      <alignment horizontal="center" vertical="center" wrapText="1"/>
    </xf>
    <xf numFmtId="169" fontId="20" fillId="0" borderId="1" xfId="0" applyNumberFormat="1" applyFont="1" applyBorder="1" applyAlignment="1">
      <alignment horizontal="center" vertical="center" wrapText="1"/>
    </xf>
    <xf numFmtId="170" fontId="17" fillId="0" borderId="1" xfId="0" applyNumberFormat="1" applyFont="1" applyBorder="1" applyAlignment="1">
      <alignment horizontal="center" vertical="center" wrapText="1"/>
    </xf>
    <xf numFmtId="171" fontId="18" fillId="0" borderId="1" xfId="0" applyNumberFormat="1" applyFont="1" applyBorder="1" applyAlignment="1">
      <alignment horizontal="center" vertical="center" wrapText="1"/>
    </xf>
    <xf numFmtId="172" fontId="18" fillId="0" borderId="1" xfId="0" applyNumberFormat="1" applyFont="1" applyBorder="1" applyAlignment="1">
      <alignment horizontal="center" vertical="center" wrapText="1"/>
    </xf>
    <xf numFmtId="3" fontId="16" fillId="7" borderId="4" xfId="0" applyNumberFormat="1" applyFont="1" applyFill="1" applyBorder="1" applyAlignment="1">
      <alignment horizontal="center" vertical="center" wrapText="1"/>
    </xf>
    <xf numFmtId="170" fontId="3" fillId="4" borderId="1" xfId="0" applyNumberFormat="1" applyFont="1" applyFill="1" applyBorder="1" applyAlignment="1">
      <alignment horizontal="center" vertical="center" wrapText="1"/>
    </xf>
    <xf numFmtId="170" fontId="3" fillId="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7" fillId="0" borderId="0" xfId="0" applyFont="1" applyAlignment="1">
      <alignment horizontal="left" vertical="center" indent="1"/>
    </xf>
    <xf numFmtId="0" fontId="2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0" fillId="16" borderId="0" xfId="0" applyFill="1"/>
    <xf numFmtId="0" fontId="0" fillId="16" borderId="0" xfId="0" applyFill="1" applyAlignment="1">
      <alignment horizontal="left" vertical="center" indent="1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7" borderId="0" xfId="0" applyFill="1"/>
    <xf numFmtId="0" fontId="23" fillId="16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 indent="1"/>
    </xf>
    <xf numFmtId="0" fontId="0" fillId="18" borderId="0" xfId="0" applyFill="1"/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0" fontId="23" fillId="16" borderId="0" xfId="0" applyFont="1" applyFill="1" applyAlignment="1">
      <alignment vertical="center"/>
    </xf>
    <xf numFmtId="0" fontId="24" fillId="16" borderId="0" xfId="0" applyFont="1" applyFill="1" applyAlignment="1">
      <alignment vertical="top"/>
    </xf>
    <xf numFmtId="0" fontId="25" fillId="16" borderId="0" xfId="0" applyFont="1" applyFill="1" applyAlignment="1">
      <alignment horizontal="left" vertical="top"/>
    </xf>
    <xf numFmtId="0" fontId="26" fillId="7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32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D4E6F8"/>
        </patternFill>
      </fill>
    </dxf>
    <dxf>
      <fill>
        <patternFill>
          <bgColor rgb="FFE2E3E5"/>
        </patternFill>
      </fill>
    </dxf>
    <dxf>
      <fill>
        <patternFill>
          <bgColor rgb="FFD4EDDA"/>
        </patternFill>
      </fill>
    </dxf>
    <dxf>
      <fill>
        <patternFill>
          <bgColor rgb="FFD4E6F8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D4E6F8"/>
        </patternFill>
      </fill>
    </dxf>
    <dxf>
      <fill>
        <patternFill>
          <bgColor rgb="FFE2E3E5"/>
        </patternFill>
      </fill>
    </dxf>
    <dxf>
      <fill>
        <patternFill>
          <bgColor rgb="FFD4EDDA"/>
        </patternFill>
      </fill>
    </dxf>
    <dxf>
      <fill>
        <patternFill>
          <bgColor rgb="FFD4E6F8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D4E6F8"/>
        </patternFill>
      </fill>
    </dxf>
    <dxf>
      <fill>
        <patternFill>
          <bgColor rgb="FFE2E3E5"/>
        </patternFill>
      </fill>
    </dxf>
    <dxf>
      <fill>
        <patternFill>
          <bgColor rgb="FFD4EDDA"/>
        </patternFill>
      </fill>
    </dxf>
    <dxf>
      <fill>
        <patternFill>
          <bgColor rgb="FFD4E6F8"/>
        </patternFill>
      </fill>
    </dxf>
    <dxf>
      <fill>
        <patternFill>
          <bgColor rgb="FFFFF3CD"/>
        </patternFill>
      </fill>
    </dxf>
    <dxf>
      <fill>
        <patternFill>
          <bgColor rgb="FFE2E3E5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6F8"/>
        </patternFill>
      </fill>
    </dxf>
    <dxf>
      <fill>
        <patternFill>
          <bgColor rgb="FFFFF3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F7A3A"/>
      <rgbColor rgb="FF000080"/>
      <rgbColor rgb="FF8B6914"/>
      <rgbColor rgb="FF800080"/>
      <rgbColor rgb="FF1A6FB8"/>
      <rgbColor rgb="FFE2E3E5"/>
      <rgbColor rgb="FF555555"/>
      <rgbColor rgb="FF9999FF"/>
      <rgbColor rgb="FF993366"/>
      <rgbColor rgb="FFFFF9D6"/>
      <rgbColor rgb="FFD4E6F8"/>
      <rgbColor rgb="FF660066"/>
      <rgbColor rgb="FFFF8080"/>
      <rgbColor rgb="FF1565C0"/>
      <rgbColor rgb="FFC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D4EDDA"/>
      <rgbColor rgb="FFFFF3CD"/>
      <rgbColor rgb="FFF2F6FB"/>
      <rgbColor rgb="FFFF99CC"/>
      <rgbColor rgb="FFCC99FF"/>
      <rgbColor rgb="FFF8D7DA"/>
      <rgbColor rgb="FF3366FF"/>
      <rgbColor rgb="FF4FC3F7"/>
      <rgbColor rgb="FF99CC00"/>
      <rgbColor rgb="FFFFCC00"/>
      <rgbColor rgb="FFFF9900"/>
      <rgbColor rgb="FFFF6600"/>
      <rgbColor rgb="FF556677"/>
      <rgbColor rgb="FFC9A84C"/>
      <rgbColor rgb="FF0D4B8C"/>
      <rgbColor rgb="FF339966"/>
      <rgbColor rgb="FF0D1B2A"/>
      <rgbColor rgb="FF1A1A1A"/>
      <rgbColor rgb="FF993300"/>
      <rgbColor rgb="FF993366"/>
      <rgbColor rgb="FF1456A8"/>
      <rgbColor rgb="FF1A2A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D6BF"/>
      <color rgb="FF0661E2"/>
      <color rgb="FF04D6BF"/>
      <color rgb="FF95A3B8"/>
      <color rgb="FF0A11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885601</xdr:colOff>
      <xdr:row>4</xdr:row>
      <xdr:rowOff>189148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191842" cy="11439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905932</xdr:colOff>
      <xdr:row>5</xdr:row>
      <xdr:rowOff>2074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210732" cy="1170474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1152230</xdr:colOff>
      <xdr:row>4</xdr:row>
      <xdr:rowOff>187078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152230" cy="1154697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939800</xdr:colOff>
      <xdr:row>5</xdr:row>
      <xdr:rowOff>47514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244600" cy="1203214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C3F7"/>
  </sheetPr>
  <dimension ref="A1:F108"/>
  <sheetViews>
    <sheetView showGridLines="0" tabSelected="1" zoomScale="125" zoomScaleNormal="100" workbookViewId="0">
      <pane ySplit="5" topLeftCell="A37" activePane="bottomLeft" state="frozen"/>
      <selection pane="bottomLeft" activeCell="H33" sqref="H33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16" customWidth="1"/>
    <col min="4" max="4" width="18" customWidth="1"/>
    <col min="5" max="5" width="14" customWidth="1"/>
    <col min="6" max="6" width="50" customWidth="1"/>
  </cols>
  <sheetData>
    <row r="1" spans="1:6" ht="18" customHeight="1" x14ac:dyDescent="0.2">
      <c r="A1" s="68"/>
      <c r="B1" s="69"/>
      <c r="C1" s="69"/>
      <c r="D1" s="68"/>
      <c r="E1" s="68"/>
      <c r="F1" s="70"/>
    </row>
    <row r="2" spans="1:6" ht="37.5" customHeight="1" x14ac:dyDescent="0.2">
      <c r="A2" s="68"/>
      <c r="B2" s="69"/>
      <c r="C2" s="73" t="s">
        <v>0</v>
      </c>
      <c r="D2" s="73"/>
      <c r="E2" s="73"/>
      <c r="F2" s="73"/>
    </row>
    <row r="3" spans="1:6" ht="18" customHeight="1" x14ac:dyDescent="0.2">
      <c r="A3" s="68"/>
      <c r="B3" s="69"/>
      <c r="C3" s="80" t="s">
        <v>1</v>
      </c>
      <c r="D3" s="80"/>
      <c r="E3" s="80"/>
      <c r="F3" s="80"/>
    </row>
    <row r="4" spans="1:6" ht="3.75" customHeight="1" x14ac:dyDescent="0.2">
      <c r="A4" s="72"/>
      <c r="B4" s="74"/>
      <c r="C4" s="74"/>
      <c r="D4" s="75"/>
      <c r="E4" s="75"/>
      <c r="F4" s="76"/>
    </row>
    <row r="5" spans="1:6" x14ac:dyDescent="0.2">
      <c r="A5" s="68"/>
      <c r="B5" s="69"/>
      <c r="C5" s="69"/>
      <c r="D5" s="68"/>
      <c r="E5" s="68"/>
      <c r="F5" s="70"/>
    </row>
    <row r="6" spans="1:6" ht="25.5" customHeight="1" x14ac:dyDescent="0.2">
      <c r="A6" s="12" t="s">
        <v>2</v>
      </c>
      <c r="B6" s="12"/>
      <c r="C6" s="12"/>
      <c r="D6" s="12"/>
      <c r="E6" s="12"/>
      <c r="F6" s="12"/>
    </row>
    <row r="7" spans="1:6" ht="30" customHeight="1" x14ac:dyDescent="0.2">
      <c r="A7" s="13" t="s">
        <v>3</v>
      </c>
      <c r="B7" s="13" t="s">
        <v>4</v>
      </c>
      <c r="C7" s="13" t="s">
        <v>5</v>
      </c>
      <c r="D7" s="13" t="s">
        <v>6</v>
      </c>
      <c r="E7" s="13" t="s">
        <v>7</v>
      </c>
      <c r="F7" s="13" t="s">
        <v>8</v>
      </c>
    </row>
    <row r="8" spans="1:6" ht="35" customHeight="1" x14ac:dyDescent="0.2">
      <c r="A8" s="14">
        <v>1</v>
      </c>
      <c r="B8" s="58" t="s">
        <v>9</v>
      </c>
      <c r="C8" s="14" t="s">
        <v>10</v>
      </c>
      <c r="D8" s="66" t="s">
        <v>11</v>
      </c>
      <c r="E8" s="14" t="s">
        <v>12</v>
      </c>
      <c r="F8" s="66" t="s">
        <v>13</v>
      </c>
    </row>
    <row r="9" spans="1:6" ht="35" customHeight="1" x14ac:dyDescent="0.2">
      <c r="A9" s="17">
        <v>2</v>
      </c>
      <c r="B9" s="59" t="s">
        <v>14</v>
      </c>
      <c r="C9" s="17" t="s">
        <v>10</v>
      </c>
      <c r="D9" s="67" t="s">
        <v>15</v>
      </c>
      <c r="E9" s="17" t="s">
        <v>12</v>
      </c>
      <c r="F9" s="67" t="s">
        <v>16</v>
      </c>
    </row>
    <row r="10" spans="1:6" ht="35" customHeight="1" x14ac:dyDescent="0.2">
      <c r="A10" s="14">
        <v>3</v>
      </c>
      <c r="B10" s="58" t="s">
        <v>17</v>
      </c>
      <c r="C10" s="14" t="s">
        <v>10</v>
      </c>
      <c r="D10" s="66" t="s">
        <v>18</v>
      </c>
      <c r="E10" s="14" t="s">
        <v>12</v>
      </c>
      <c r="F10" s="66" t="s">
        <v>19</v>
      </c>
    </row>
    <row r="11" spans="1:6" ht="35" customHeight="1" x14ac:dyDescent="0.2">
      <c r="A11" s="17">
        <v>4</v>
      </c>
      <c r="B11" s="59" t="s">
        <v>20</v>
      </c>
      <c r="C11" s="17" t="s">
        <v>21</v>
      </c>
      <c r="D11" s="67" t="s">
        <v>22</v>
      </c>
      <c r="E11" s="17" t="s">
        <v>12</v>
      </c>
      <c r="F11" s="67" t="s">
        <v>23</v>
      </c>
    </row>
    <row r="12" spans="1:6" ht="35" customHeight="1" x14ac:dyDescent="0.2">
      <c r="A12" s="14">
        <v>5</v>
      </c>
      <c r="B12" s="58" t="s">
        <v>24</v>
      </c>
      <c r="C12" s="14" t="s">
        <v>21</v>
      </c>
      <c r="D12" s="66" t="s">
        <v>25</v>
      </c>
      <c r="E12" s="14" t="s">
        <v>12</v>
      </c>
      <c r="F12" s="66" t="s">
        <v>26</v>
      </c>
    </row>
    <row r="13" spans="1:6" ht="35" customHeight="1" x14ac:dyDescent="0.2">
      <c r="A13" s="17">
        <v>6</v>
      </c>
      <c r="B13" s="59" t="s">
        <v>27</v>
      </c>
      <c r="C13" s="17" t="s">
        <v>21</v>
      </c>
      <c r="D13" s="67" t="s">
        <v>28</v>
      </c>
      <c r="E13" s="17" t="s">
        <v>12</v>
      </c>
      <c r="F13" s="67" t="s">
        <v>29</v>
      </c>
    </row>
    <row r="14" spans="1:6" ht="35" customHeight="1" x14ac:dyDescent="0.2">
      <c r="A14" s="14">
        <v>7</v>
      </c>
      <c r="B14" s="58" t="s">
        <v>30</v>
      </c>
      <c r="C14" s="14" t="s">
        <v>21</v>
      </c>
      <c r="D14" s="66" t="s">
        <v>31</v>
      </c>
      <c r="E14" s="14" t="s">
        <v>12</v>
      </c>
      <c r="F14" s="66" t="s">
        <v>32</v>
      </c>
    </row>
    <row r="15" spans="1:6" ht="35" customHeight="1" x14ac:dyDescent="0.2">
      <c r="A15" s="17">
        <v>8</v>
      </c>
      <c r="B15" s="59" t="s">
        <v>33</v>
      </c>
      <c r="C15" s="17" t="s">
        <v>34</v>
      </c>
      <c r="D15" s="67" t="s">
        <v>35</v>
      </c>
      <c r="E15" s="17" t="s">
        <v>12</v>
      </c>
      <c r="F15" s="67" t="s">
        <v>36</v>
      </c>
    </row>
    <row r="16" spans="1:6" ht="35" customHeight="1" x14ac:dyDescent="0.2">
      <c r="A16" s="14">
        <v>9</v>
      </c>
      <c r="B16" s="58" t="s">
        <v>37</v>
      </c>
      <c r="C16" s="14" t="s">
        <v>34</v>
      </c>
      <c r="D16" s="66" t="s">
        <v>38</v>
      </c>
      <c r="E16" s="14" t="s">
        <v>12</v>
      </c>
      <c r="F16" s="66" t="s">
        <v>39</v>
      </c>
    </row>
    <row r="17" spans="1:6" ht="35" customHeight="1" x14ac:dyDescent="0.2">
      <c r="A17" s="17">
        <v>10</v>
      </c>
      <c r="B17" s="59" t="s">
        <v>40</v>
      </c>
      <c r="C17" s="17" t="s">
        <v>34</v>
      </c>
      <c r="D17" s="67" t="s">
        <v>41</v>
      </c>
      <c r="E17" s="17" t="s">
        <v>12</v>
      </c>
      <c r="F17" s="67" t="s">
        <v>42</v>
      </c>
    </row>
    <row r="19" spans="1:6" ht="25.5" customHeight="1" x14ac:dyDescent="0.2">
      <c r="A19" s="12" t="s">
        <v>43</v>
      </c>
      <c r="B19" s="12"/>
      <c r="C19" s="12"/>
      <c r="D19" s="12"/>
      <c r="E19" s="12"/>
      <c r="F19" s="12"/>
    </row>
    <row r="20" spans="1:6" ht="19.5" customHeight="1" x14ac:dyDescent="0.2">
      <c r="A20" s="11" t="s">
        <v>44</v>
      </c>
      <c r="B20" s="11"/>
      <c r="C20" s="11"/>
      <c r="D20" s="11"/>
      <c r="E20" s="11"/>
      <c r="F20" s="11"/>
    </row>
    <row r="21" spans="1:6" ht="30" customHeight="1" x14ac:dyDescent="0.2">
      <c r="A21" s="13"/>
      <c r="B21" s="13" t="s">
        <v>45</v>
      </c>
      <c r="C21" s="82" t="s">
        <v>46</v>
      </c>
      <c r="D21" s="83"/>
      <c r="E21" s="84"/>
      <c r="F21" s="13" t="s">
        <v>47</v>
      </c>
    </row>
    <row r="22" spans="1:6" ht="20" customHeight="1" x14ac:dyDescent="0.2">
      <c r="A22" s="20"/>
      <c r="B22" s="81" t="s">
        <v>48</v>
      </c>
      <c r="C22" s="10" t="s">
        <v>49</v>
      </c>
      <c r="D22" s="10"/>
      <c r="E22" s="10"/>
      <c r="F22" s="22" t="s">
        <v>50</v>
      </c>
    </row>
    <row r="23" spans="1:6" ht="20" customHeight="1" x14ac:dyDescent="0.2">
      <c r="A23" s="20"/>
      <c r="B23" s="21" t="s">
        <v>48</v>
      </c>
      <c r="C23" s="10" t="s">
        <v>51</v>
      </c>
      <c r="D23" s="10"/>
      <c r="E23" s="10"/>
      <c r="F23" s="22" t="s">
        <v>52</v>
      </c>
    </row>
    <row r="24" spans="1:6" ht="20" customHeight="1" x14ac:dyDescent="0.2">
      <c r="A24" s="20"/>
      <c r="B24" s="21" t="s">
        <v>48</v>
      </c>
      <c r="C24" s="10" t="s">
        <v>53</v>
      </c>
      <c r="D24" s="10"/>
      <c r="E24" s="10"/>
      <c r="F24" s="22" t="s">
        <v>54</v>
      </c>
    </row>
    <row r="25" spans="1:6" ht="20" customHeight="1" x14ac:dyDescent="0.2">
      <c r="A25" s="20"/>
      <c r="B25" s="21" t="s">
        <v>48</v>
      </c>
      <c r="C25" s="10" t="s">
        <v>55</v>
      </c>
      <c r="D25" s="10"/>
      <c r="E25" s="10"/>
      <c r="F25" s="22" t="s">
        <v>56</v>
      </c>
    </row>
    <row r="26" spans="1:6" ht="20" customHeight="1" x14ac:dyDescent="0.2">
      <c r="A26" s="20"/>
      <c r="B26" s="21" t="s">
        <v>48</v>
      </c>
      <c r="C26" s="10" t="s">
        <v>57</v>
      </c>
      <c r="D26" s="10"/>
      <c r="E26" s="10"/>
      <c r="F26" s="22" t="s">
        <v>58</v>
      </c>
    </row>
    <row r="27" spans="1:6" ht="20" customHeight="1" x14ac:dyDescent="0.2">
      <c r="A27" s="20"/>
      <c r="B27" s="21" t="s">
        <v>48</v>
      </c>
      <c r="C27" s="10" t="s">
        <v>59</v>
      </c>
      <c r="D27" s="10"/>
      <c r="E27" s="10"/>
      <c r="F27" s="22" t="s">
        <v>60</v>
      </c>
    </row>
    <row r="28" spans="1:6" ht="20" customHeight="1" x14ac:dyDescent="0.2">
      <c r="A28" s="20"/>
      <c r="B28" s="21" t="s">
        <v>48</v>
      </c>
      <c r="C28" s="10" t="s">
        <v>61</v>
      </c>
      <c r="D28" s="10"/>
      <c r="E28" s="10"/>
      <c r="F28" s="22" t="s">
        <v>62</v>
      </c>
    </row>
    <row r="30" spans="1:6" ht="19.5" customHeight="1" x14ac:dyDescent="0.2">
      <c r="A30" s="9" t="s">
        <v>63</v>
      </c>
      <c r="B30" s="9"/>
      <c r="C30" s="9"/>
      <c r="D30" s="9"/>
      <c r="E30" s="9"/>
      <c r="F30" s="9"/>
    </row>
    <row r="31" spans="1:6" ht="30" customHeight="1" x14ac:dyDescent="0.2">
      <c r="A31" s="13"/>
      <c r="B31" s="13" t="s">
        <v>45</v>
      </c>
      <c r="C31" s="82" t="s">
        <v>46</v>
      </c>
      <c r="D31" s="83"/>
      <c r="E31" s="84"/>
      <c r="F31" s="13" t="s">
        <v>47</v>
      </c>
    </row>
    <row r="32" spans="1:6" ht="20" customHeight="1" x14ac:dyDescent="0.2">
      <c r="A32" s="20"/>
      <c r="B32" s="21" t="s">
        <v>48</v>
      </c>
      <c r="C32" s="10" t="s">
        <v>64</v>
      </c>
      <c r="D32" s="10"/>
      <c r="E32" s="10"/>
      <c r="F32" s="22" t="s">
        <v>65</v>
      </c>
    </row>
    <row r="33" spans="1:6" ht="20" customHeight="1" x14ac:dyDescent="0.2">
      <c r="A33" s="20"/>
      <c r="B33" s="21" t="s">
        <v>48</v>
      </c>
      <c r="C33" s="10" t="s">
        <v>66</v>
      </c>
      <c r="D33" s="10"/>
      <c r="E33" s="10"/>
      <c r="F33" s="22" t="s">
        <v>67</v>
      </c>
    </row>
    <row r="34" spans="1:6" ht="20" customHeight="1" x14ac:dyDescent="0.2">
      <c r="A34" s="20"/>
      <c r="B34" s="21" t="s">
        <v>48</v>
      </c>
      <c r="C34" s="10" t="s">
        <v>68</v>
      </c>
      <c r="D34" s="10"/>
      <c r="E34" s="10"/>
      <c r="F34" s="22" t="s">
        <v>69</v>
      </c>
    </row>
    <row r="35" spans="1:6" ht="20" customHeight="1" x14ac:dyDescent="0.2">
      <c r="A35" s="20"/>
      <c r="B35" s="21" t="s">
        <v>48</v>
      </c>
      <c r="C35" s="10" t="s">
        <v>70</v>
      </c>
      <c r="D35" s="10"/>
      <c r="E35" s="10"/>
      <c r="F35" s="22" t="s">
        <v>71</v>
      </c>
    </row>
    <row r="36" spans="1:6" ht="20" customHeight="1" x14ac:dyDescent="0.2">
      <c r="A36" s="20"/>
      <c r="B36" s="21" t="s">
        <v>48</v>
      </c>
      <c r="C36" s="10" t="s">
        <v>72</v>
      </c>
      <c r="D36" s="10"/>
      <c r="E36" s="10"/>
      <c r="F36" s="22" t="s">
        <v>73</v>
      </c>
    </row>
    <row r="37" spans="1:6" ht="20" customHeight="1" x14ac:dyDescent="0.2">
      <c r="A37" s="20"/>
      <c r="B37" s="21" t="s">
        <v>48</v>
      </c>
      <c r="C37" s="10" t="s">
        <v>74</v>
      </c>
      <c r="D37" s="10"/>
      <c r="E37" s="10"/>
      <c r="F37" s="22" t="s">
        <v>75</v>
      </c>
    </row>
    <row r="38" spans="1:6" ht="20" customHeight="1" x14ac:dyDescent="0.2">
      <c r="A38" s="20"/>
      <c r="B38" s="21" t="s">
        <v>48</v>
      </c>
      <c r="C38" s="10" t="s">
        <v>76</v>
      </c>
      <c r="D38" s="10"/>
      <c r="E38" s="10"/>
      <c r="F38" s="22" t="s">
        <v>77</v>
      </c>
    </row>
    <row r="39" spans="1:6" ht="20" customHeight="1" x14ac:dyDescent="0.2">
      <c r="A39" s="20"/>
      <c r="B39" s="21" t="s">
        <v>48</v>
      </c>
      <c r="C39" s="10" t="s">
        <v>78</v>
      </c>
      <c r="D39" s="10"/>
      <c r="E39" s="10"/>
      <c r="F39" s="22" t="s">
        <v>79</v>
      </c>
    </row>
    <row r="40" spans="1:6" ht="20" customHeight="1" x14ac:dyDescent="0.2">
      <c r="A40" s="20"/>
      <c r="B40" s="21" t="s">
        <v>48</v>
      </c>
      <c r="C40" s="10" t="s">
        <v>80</v>
      </c>
      <c r="D40" s="10"/>
      <c r="E40" s="10"/>
      <c r="F40" s="22" t="s">
        <v>81</v>
      </c>
    </row>
    <row r="41" spans="1:6" ht="20" customHeight="1" x14ac:dyDescent="0.2">
      <c r="A41" s="20"/>
      <c r="B41" s="21" t="s">
        <v>48</v>
      </c>
      <c r="C41" s="10" t="s">
        <v>82</v>
      </c>
      <c r="D41" s="10"/>
      <c r="E41" s="10"/>
      <c r="F41" s="22" t="s">
        <v>83</v>
      </c>
    </row>
    <row r="43" spans="1:6" ht="19.5" customHeight="1" x14ac:dyDescent="0.2">
      <c r="A43" s="11" t="s">
        <v>84</v>
      </c>
      <c r="B43" s="11"/>
      <c r="C43" s="11"/>
      <c r="D43" s="11"/>
      <c r="E43" s="11"/>
      <c r="F43" s="11"/>
    </row>
    <row r="44" spans="1:6" ht="30" customHeight="1" x14ac:dyDescent="0.2">
      <c r="A44" s="13"/>
      <c r="B44" s="13" t="s">
        <v>45</v>
      </c>
      <c r="C44" s="82" t="s">
        <v>46</v>
      </c>
      <c r="D44" s="83"/>
      <c r="E44" s="84"/>
      <c r="F44" s="13" t="s">
        <v>47</v>
      </c>
    </row>
    <row r="45" spans="1:6" ht="20" customHeight="1" x14ac:dyDescent="0.2">
      <c r="A45" s="20"/>
      <c r="B45" s="21" t="s">
        <v>48</v>
      </c>
      <c r="C45" s="10" t="s">
        <v>85</v>
      </c>
      <c r="D45" s="10"/>
      <c r="E45" s="10"/>
      <c r="F45" s="22" t="s">
        <v>86</v>
      </c>
    </row>
    <row r="46" spans="1:6" ht="20" customHeight="1" x14ac:dyDescent="0.2">
      <c r="A46" s="20"/>
      <c r="B46" s="21" t="s">
        <v>48</v>
      </c>
      <c r="C46" s="10" t="s">
        <v>87</v>
      </c>
      <c r="D46" s="10"/>
      <c r="E46" s="10"/>
      <c r="F46" s="22" t="s">
        <v>88</v>
      </c>
    </row>
    <row r="47" spans="1:6" ht="20" customHeight="1" x14ac:dyDescent="0.2">
      <c r="A47" s="20"/>
      <c r="B47" s="21" t="s">
        <v>48</v>
      </c>
      <c r="C47" s="10" t="s">
        <v>89</v>
      </c>
      <c r="D47" s="10"/>
      <c r="E47" s="10"/>
      <c r="F47" s="22" t="s">
        <v>90</v>
      </c>
    </row>
    <row r="48" spans="1:6" ht="20" customHeight="1" x14ac:dyDescent="0.2">
      <c r="A48" s="20"/>
      <c r="B48" s="21" t="s">
        <v>48</v>
      </c>
      <c r="C48" s="10" t="s">
        <v>91</v>
      </c>
      <c r="D48" s="10"/>
      <c r="E48" s="10"/>
      <c r="F48" s="22" t="s">
        <v>92</v>
      </c>
    </row>
    <row r="49" spans="1:6" ht="20" customHeight="1" x14ac:dyDescent="0.2">
      <c r="A49" s="20"/>
      <c r="B49" s="21" t="s">
        <v>48</v>
      </c>
      <c r="C49" s="10" t="s">
        <v>93</v>
      </c>
      <c r="D49" s="10"/>
      <c r="E49" s="10"/>
      <c r="F49" s="22" t="s">
        <v>94</v>
      </c>
    </row>
    <row r="50" spans="1:6" ht="20" customHeight="1" x14ac:dyDescent="0.2">
      <c r="A50" s="20"/>
      <c r="B50" s="21" t="s">
        <v>48</v>
      </c>
      <c r="C50" s="10" t="s">
        <v>95</v>
      </c>
      <c r="D50" s="10"/>
      <c r="E50" s="10"/>
      <c r="F50" s="22" t="s">
        <v>96</v>
      </c>
    </row>
    <row r="51" spans="1:6" ht="20" customHeight="1" x14ac:dyDescent="0.2">
      <c r="A51" s="20"/>
      <c r="B51" s="21" t="s">
        <v>48</v>
      </c>
      <c r="C51" s="10" t="s">
        <v>97</v>
      </c>
      <c r="D51" s="10"/>
      <c r="E51" s="10"/>
      <c r="F51" s="22" t="s">
        <v>98</v>
      </c>
    </row>
    <row r="52" spans="1:6" ht="20" customHeight="1" x14ac:dyDescent="0.2">
      <c r="A52" s="20"/>
      <c r="B52" s="21" t="s">
        <v>48</v>
      </c>
      <c r="C52" s="10" t="s">
        <v>99</v>
      </c>
      <c r="D52" s="10"/>
      <c r="E52" s="10"/>
      <c r="F52" s="22" t="s">
        <v>100</v>
      </c>
    </row>
    <row r="53" spans="1:6" ht="20" customHeight="1" x14ac:dyDescent="0.2">
      <c r="A53" s="20"/>
      <c r="B53" s="21" t="s">
        <v>48</v>
      </c>
      <c r="C53" s="10" t="s">
        <v>101</v>
      </c>
      <c r="D53" s="10"/>
      <c r="E53" s="10"/>
      <c r="F53" s="22" t="s">
        <v>102</v>
      </c>
    </row>
    <row r="54" spans="1:6" ht="20" customHeight="1" x14ac:dyDescent="0.2">
      <c r="A54" s="20"/>
      <c r="B54" s="21" t="s">
        <v>48</v>
      </c>
      <c r="C54" s="10" t="s">
        <v>103</v>
      </c>
      <c r="D54" s="10"/>
      <c r="E54" s="10"/>
      <c r="F54" s="22" t="s">
        <v>104</v>
      </c>
    </row>
    <row r="55" spans="1:6" ht="20" customHeight="1" x14ac:dyDescent="0.2">
      <c r="A55" s="20"/>
      <c r="B55" s="21" t="s">
        <v>48</v>
      </c>
      <c r="C55" s="10" t="s">
        <v>105</v>
      </c>
      <c r="D55" s="10"/>
      <c r="E55" s="10"/>
      <c r="F55" s="22" t="s">
        <v>106</v>
      </c>
    </row>
    <row r="56" spans="1:6" ht="20" customHeight="1" x14ac:dyDescent="0.2">
      <c r="A56" s="20"/>
      <c r="B56" s="21" t="s">
        <v>48</v>
      </c>
      <c r="C56" s="10" t="s">
        <v>107</v>
      </c>
      <c r="D56" s="10"/>
      <c r="E56" s="10"/>
      <c r="F56" s="22" t="s">
        <v>108</v>
      </c>
    </row>
    <row r="57" spans="1:6" ht="20" customHeight="1" x14ac:dyDescent="0.2">
      <c r="A57" s="20"/>
      <c r="B57" s="21" t="s">
        <v>48</v>
      </c>
      <c r="C57" s="10" t="s">
        <v>109</v>
      </c>
      <c r="D57" s="10"/>
      <c r="E57" s="10"/>
      <c r="F57" s="22" t="s">
        <v>110</v>
      </c>
    </row>
    <row r="58" spans="1:6" ht="20" customHeight="1" x14ac:dyDescent="0.2">
      <c r="A58" s="20"/>
      <c r="B58" s="21" t="s">
        <v>48</v>
      </c>
      <c r="C58" s="10" t="s">
        <v>111</v>
      </c>
      <c r="D58" s="10"/>
      <c r="E58" s="10"/>
      <c r="F58" s="22" t="s">
        <v>112</v>
      </c>
    </row>
    <row r="60" spans="1:6" ht="19.5" customHeight="1" x14ac:dyDescent="0.2">
      <c r="A60" s="8" t="s">
        <v>113</v>
      </c>
      <c r="B60" s="8"/>
      <c r="C60" s="8"/>
      <c r="D60" s="8"/>
      <c r="E60" s="8"/>
      <c r="F60" s="8"/>
    </row>
    <row r="61" spans="1:6" ht="30" customHeight="1" x14ac:dyDescent="0.2">
      <c r="A61" s="13"/>
      <c r="B61" s="13" t="s">
        <v>45</v>
      </c>
      <c r="C61" s="82" t="s">
        <v>46</v>
      </c>
      <c r="D61" s="83"/>
      <c r="E61" s="84"/>
      <c r="F61" s="13" t="s">
        <v>47</v>
      </c>
    </row>
    <row r="62" spans="1:6" ht="20" customHeight="1" x14ac:dyDescent="0.2">
      <c r="A62" s="20"/>
      <c r="B62" s="21" t="s">
        <v>48</v>
      </c>
      <c r="C62" s="10" t="s">
        <v>114</v>
      </c>
      <c r="D62" s="10"/>
      <c r="E62" s="10"/>
      <c r="F62" s="22" t="s">
        <v>115</v>
      </c>
    </row>
    <row r="63" spans="1:6" ht="20" customHeight="1" x14ac:dyDescent="0.2">
      <c r="A63" s="20"/>
      <c r="B63" s="21" t="s">
        <v>48</v>
      </c>
      <c r="C63" s="10" t="s">
        <v>116</v>
      </c>
      <c r="D63" s="10"/>
      <c r="E63" s="10"/>
      <c r="F63" s="22" t="s">
        <v>117</v>
      </c>
    </row>
    <row r="64" spans="1:6" ht="20" customHeight="1" x14ac:dyDescent="0.2">
      <c r="A64" s="20"/>
      <c r="B64" s="21" t="s">
        <v>48</v>
      </c>
      <c r="C64" s="10" t="s">
        <v>118</v>
      </c>
      <c r="D64" s="10"/>
      <c r="E64" s="10"/>
      <c r="F64" s="22" t="s">
        <v>119</v>
      </c>
    </row>
    <row r="65" spans="1:6" ht="20" customHeight="1" x14ac:dyDescent="0.2">
      <c r="A65" s="20"/>
      <c r="B65" s="21" t="s">
        <v>48</v>
      </c>
      <c r="C65" s="10" t="s">
        <v>120</v>
      </c>
      <c r="D65" s="10"/>
      <c r="E65" s="10"/>
      <c r="F65" s="22" t="s">
        <v>121</v>
      </c>
    </row>
    <row r="66" spans="1:6" ht="20" customHeight="1" x14ac:dyDescent="0.2">
      <c r="A66" s="20"/>
      <c r="B66" s="21" t="s">
        <v>48</v>
      </c>
      <c r="C66" s="10" t="s">
        <v>122</v>
      </c>
      <c r="D66" s="10"/>
      <c r="E66" s="10"/>
      <c r="F66" s="22" t="s">
        <v>123</v>
      </c>
    </row>
    <row r="67" spans="1:6" ht="20" customHeight="1" x14ac:dyDescent="0.2">
      <c r="A67" s="20"/>
      <c r="B67" s="21" t="s">
        <v>48</v>
      </c>
      <c r="C67" s="10" t="s">
        <v>124</v>
      </c>
      <c r="D67" s="10"/>
      <c r="E67" s="10"/>
      <c r="F67" s="22" t="s">
        <v>125</v>
      </c>
    </row>
    <row r="68" spans="1:6" ht="20" customHeight="1" x14ac:dyDescent="0.2">
      <c r="A68" s="20"/>
      <c r="B68" s="21" t="s">
        <v>48</v>
      </c>
      <c r="C68" s="10" t="s">
        <v>126</v>
      </c>
      <c r="D68" s="10"/>
      <c r="E68" s="10"/>
      <c r="F68" s="22" t="s">
        <v>127</v>
      </c>
    </row>
    <row r="70" spans="1:6" ht="25.5" customHeight="1" x14ac:dyDescent="0.2">
      <c r="A70" s="12" t="s">
        <v>128</v>
      </c>
      <c r="B70" s="12"/>
      <c r="C70" s="12"/>
      <c r="D70" s="12"/>
      <c r="E70" s="12"/>
      <c r="F70" s="12"/>
    </row>
    <row r="71" spans="1:6" ht="30" customHeight="1" x14ac:dyDescent="0.2">
      <c r="A71" s="13"/>
      <c r="B71" s="13" t="s">
        <v>129</v>
      </c>
      <c r="C71" s="13" t="s">
        <v>130</v>
      </c>
      <c r="D71" s="13" t="s">
        <v>131</v>
      </c>
      <c r="E71" s="13" t="s">
        <v>132</v>
      </c>
      <c r="F71" s="13" t="s">
        <v>133</v>
      </c>
    </row>
    <row r="72" spans="1:6" ht="21.75" customHeight="1" x14ac:dyDescent="0.2">
      <c r="A72" s="14">
        <v>1</v>
      </c>
      <c r="B72" s="15" t="s">
        <v>134</v>
      </c>
      <c r="C72" s="14" t="s">
        <v>135</v>
      </c>
      <c r="D72" s="16" t="s">
        <v>136</v>
      </c>
      <c r="E72" s="23" t="s">
        <v>137</v>
      </c>
      <c r="F72" s="16" t="s">
        <v>138</v>
      </c>
    </row>
    <row r="73" spans="1:6" ht="21.75" customHeight="1" x14ac:dyDescent="0.2">
      <c r="A73" s="17">
        <v>2</v>
      </c>
      <c r="B73" s="18" t="s">
        <v>139</v>
      </c>
      <c r="C73" s="17" t="s">
        <v>140</v>
      </c>
      <c r="D73" s="19" t="s">
        <v>141</v>
      </c>
      <c r="E73" s="24" t="s">
        <v>142</v>
      </c>
      <c r="F73" s="19" t="s">
        <v>143</v>
      </c>
    </row>
    <row r="74" spans="1:6" ht="21.75" customHeight="1" x14ac:dyDescent="0.2">
      <c r="A74" s="14">
        <v>3</v>
      </c>
      <c r="B74" s="15" t="s">
        <v>144</v>
      </c>
      <c r="C74" s="14" t="s">
        <v>145</v>
      </c>
      <c r="D74" s="16" t="s">
        <v>146</v>
      </c>
      <c r="E74" s="23" t="s">
        <v>137</v>
      </c>
      <c r="F74" s="16" t="s">
        <v>147</v>
      </c>
    </row>
    <row r="75" spans="1:6" ht="21.75" customHeight="1" x14ac:dyDescent="0.2">
      <c r="A75" s="17">
        <v>4</v>
      </c>
      <c r="B75" s="18" t="s">
        <v>148</v>
      </c>
      <c r="C75" s="17" t="s">
        <v>145</v>
      </c>
      <c r="D75" s="19" t="s">
        <v>149</v>
      </c>
      <c r="E75" s="23" t="s">
        <v>137</v>
      </c>
      <c r="F75" s="19" t="s">
        <v>150</v>
      </c>
    </row>
    <row r="76" spans="1:6" ht="21.75" customHeight="1" x14ac:dyDescent="0.2">
      <c r="A76" s="14">
        <v>5</v>
      </c>
      <c r="B76" s="15" t="s">
        <v>151</v>
      </c>
      <c r="C76" s="14" t="s">
        <v>145</v>
      </c>
      <c r="D76" s="16" t="s">
        <v>152</v>
      </c>
      <c r="E76" s="23" t="s">
        <v>137</v>
      </c>
      <c r="F76" s="16" t="s">
        <v>153</v>
      </c>
    </row>
    <row r="77" spans="1:6" ht="21.75" customHeight="1" x14ac:dyDescent="0.2">
      <c r="A77" s="17">
        <v>6</v>
      </c>
      <c r="B77" s="18" t="s">
        <v>154</v>
      </c>
      <c r="C77" s="17" t="s">
        <v>145</v>
      </c>
      <c r="D77" s="19" t="s">
        <v>155</v>
      </c>
      <c r="E77" s="25" t="s">
        <v>156</v>
      </c>
      <c r="F77" s="19" t="s">
        <v>157</v>
      </c>
    </row>
    <row r="78" spans="1:6" ht="21.75" customHeight="1" x14ac:dyDescent="0.2">
      <c r="A78" s="14">
        <v>7</v>
      </c>
      <c r="B78" s="15" t="s">
        <v>158</v>
      </c>
      <c r="C78" s="14" t="s">
        <v>145</v>
      </c>
      <c r="D78" s="16" t="s">
        <v>159</v>
      </c>
      <c r="E78" s="24" t="s">
        <v>142</v>
      </c>
      <c r="F78" s="16" t="s">
        <v>160</v>
      </c>
    </row>
    <row r="79" spans="1:6" ht="21.75" customHeight="1" x14ac:dyDescent="0.2">
      <c r="A79" s="17">
        <v>8</v>
      </c>
      <c r="B79" s="18" t="s">
        <v>161</v>
      </c>
      <c r="C79" s="17" t="s">
        <v>145</v>
      </c>
      <c r="D79" s="19" t="s">
        <v>155</v>
      </c>
      <c r="E79" s="25" t="s">
        <v>156</v>
      </c>
      <c r="F79" s="19" t="s">
        <v>162</v>
      </c>
    </row>
    <row r="80" spans="1:6" ht="21.75" customHeight="1" x14ac:dyDescent="0.2">
      <c r="A80" s="14">
        <v>9</v>
      </c>
      <c r="B80" s="15" t="s">
        <v>163</v>
      </c>
      <c r="C80" s="14" t="s">
        <v>164</v>
      </c>
      <c r="D80" s="16" t="s">
        <v>165</v>
      </c>
      <c r="E80" s="24" t="s">
        <v>142</v>
      </c>
      <c r="F80" s="16" t="s">
        <v>166</v>
      </c>
    </row>
    <row r="81" spans="1:6" ht="21.75" customHeight="1" x14ac:dyDescent="0.2">
      <c r="A81" s="17">
        <v>10</v>
      </c>
      <c r="B81" s="18" t="s">
        <v>167</v>
      </c>
      <c r="C81" s="17" t="s">
        <v>168</v>
      </c>
      <c r="D81" s="19" t="s">
        <v>169</v>
      </c>
      <c r="E81" s="24" t="s">
        <v>142</v>
      </c>
      <c r="F81" s="19" t="s">
        <v>170</v>
      </c>
    </row>
    <row r="83" spans="1:6" ht="25.5" customHeight="1" x14ac:dyDescent="0.2">
      <c r="A83" s="12" t="s">
        <v>171</v>
      </c>
      <c r="B83" s="12"/>
      <c r="C83" s="12"/>
      <c r="D83" s="12"/>
      <c r="E83" s="12"/>
      <c r="F83" s="12"/>
    </row>
    <row r="84" spans="1:6" ht="30" customHeight="1" x14ac:dyDescent="0.2">
      <c r="A84" s="13"/>
      <c r="B84" s="13" t="s">
        <v>172</v>
      </c>
      <c r="C84" s="13" t="s">
        <v>173</v>
      </c>
      <c r="D84" s="13" t="s">
        <v>174</v>
      </c>
      <c r="E84" s="13" t="s">
        <v>175</v>
      </c>
      <c r="F84" s="13" t="s">
        <v>176</v>
      </c>
    </row>
    <row r="85" spans="1:6" ht="27.75" customHeight="1" x14ac:dyDescent="0.2">
      <c r="A85" s="14">
        <v>1</v>
      </c>
      <c r="B85" s="15" t="s">
        <v>177</v>
      </c>
      <c r="C85" s="14" t="s">
        <v>178</v>
      </c>
      <c r="D85" s="16" t="s">
        <v>179</v>
      </c>
      <c r="E85" s="14" t="s">
        <v>180</v>
      </c>
      <c r="F85" s="16" t="s">
        <v>181</v>
      </c>
    </row>
    <row r="86" spans="1:6" ht="27.75" customHeight="1" x14ac:dyDescent="0.2">
      <c r="A86" s="17">
        <v>2</v>
      </c>
      <c r="B86" s="18" t="s">
        <v>182</v>
      </c>
      <c r="C86" s="17" t="s">
        <v>178</v>
      </c>
      <c r="D86" s="19" t="s">
        <v>183</v>
      </c>
      <c r="E86" s="17" t="s">
        <v>180</v>
      </c>
      <c r="F86" s="19" t="s">
        <v>184</v>
      </c>
    </row>
    <row r="87" spans="1:6" ht="27.75" customHeight="1" x14ac:dyDescent="0.2">
      <c r="A87" s="14">
        <v>3</v>
      </c>
      <c r="B87" s="15" t="s">
        <v>185</v>
      </c>
      <c r="C87" s="14" t="s">
        <v>186</v>
      </c>
      <c r="D87" s="16" t="s">
        <v>187</v>
      </c>
      <c r="E87" s="14" t="s">
        <v>180</v>
      </c>
      <c r="F87" s="16" t="s">
        <v>188</v>
      </c>
    </row>
    <row r="88" spans="1:6" ht="27.75" customHeight="1" x14ac:dyDescent="0.2">
      <c r="A88" s="17">
        <v>4</v>
      </c>
      <c r="B88" s="18" t="s">
        <v>189</v>
      </c>
      <c r="C88" s="17" t="s">
        <v>186</v>
      </c>
      <c r="D88" s="19" t="s">
        <v>190</v>
      </c>
      <c r="E88" s="17" t="s">
        <v>180</v>
      </c>
      <c r="F88" s="19" t="s">
        <v>191</v>
      </c>
    </row>
    <row r="89" spans="1:6" ht="27.75" customHeight="1" x14ac:dyDescent="0.2">
      <c r="A89" s="14">
        <v>5</v>
      </c>
      <c r="B89" s="15" t="s">
        <v>192</v>
      </c>
      <c r="C89" s="14" t="s">
        <v>186</v>
      </c>
      <c r="D89" s="16" t="s">
        <v>193</v>
      </c>
      <c r="E89" s="14" t="s">
        <v>180</v>
      </c>
      <c r="F89" s="16" t="s">
        <v>194</v>
      </c>
    </row>
    <row r="90" spans="1:6" ht="27.75" customHeight="1" x14ac:dyDescent="0.2">
      <c r="A90" s="17">
        <v>6</v>
      </c>
      <c r="B90" s="18" t="s">
        <v>195</v>
      </c>
      <c r="C90" s="17" t="s">
        <v>196</v>
      </c>
      <c r="D90" s="19" t="s">
        <v>197</v>
      </c>
      <c r="E90" s="17" t="s">
        <v>180</v>
      </c>
      <c r="F90" s="19" t="s">
        <v>198</v>
      </c>
    </row>
    <row r="91" spans="1:6" ht="27.75" customHeight="1" x14ac:dyDescent="0.2">
      <c r="A91" s="14">
        <v>7</v>
      </c>
      <c r="B91" s="15" t="s">
        <v>199</v>
      </c>
      <c r="C91" s="14" t="s">
        <v>196</v>
      </c>
      <c r="D91" s="16" t="s">
        <v>200</v>
      </c>
      <c r="E91" s="14" t="s">
        <v>180</v>
      </c>
      <c r="F91" s="16" t="s">
        <v>201</v>
      </c>
    </row>
    <row r="92" spans="1:6" ht="27.75" customHeight="1" x14ac:dyDescent="0.2">
      <c r="A92" s="17">
        <v>8</v>
      </c>
      <c r="B92" s="18" t="s">
        <v>202</v>
      </c>
      <c r="C92" s="17" t="s">
        <v>178</v>
      </c>
      <c r="D92" s="19" t="s">
        <v>203</v>
      </c>
      <c r="E92" s="17" t="s">
        <v>180</v>
      </c>
      <c r="F92" s="19" t="s">
        <v>204</v>
      </c>
    </row>
    <row r="93" spans="1:6" ht="27.75" customHeight="1" x14ac:dyDescent="0.2">
      <c r="A93" s="14">
        <v>9</v>
      </c>
      <c r="B93" s="15" t="s">
        <v>205</v>
      </c>
      <c r="C93" s="14" t="s">
        <v>196</v>
      </c>
      <c r="D93" s="16" t="s">
        <v>206</v>
      </c>
      <c r="E93" s="14" t="s">
        <v>180</v>
      </c>
      <c r="F93" s="16" t="s">
        <v>207</v>
      </c>
    </row>
    <row r="94" spans="1:6" ht="27.75" customHeight="1" x14ac:dyDescent="0.2">
      <c r="A94" s="17">
        <v>10</v>
      </c>
      <c r="B94" s="18" t="s">
        <v>208</v>
      </c>
      <c r="C94" s="17" t="s">
        <v>178</v>
      </c>
      <c r="D94" s="19" t="s">
        <v>209</v>
      </c>
      <c r="E94" s="17" t="s">
        <v>180</v>
      </c>
      <c r="F94" s="19" t="s">
        <v>210</v>
      </c>
    </row>
    <row r="95" spans="1:6" ht="27.75" customHeight="1" x14ac:dyDescent="0.2">
      <c r="A95" s="14">
        <v>11</v>
      </c>
      <c r="B95" s="15" t="s">
        <v>211</v>
      </c>
      <c r="C95" s="14" t="s">
        <v>178</v>
      </c>
      <c r="D95" s="16" t="s">
        <v>212</v>
      </c>
      <c r="E95" s="14" t="s">
        <v>180</v>
      </c>
      <c r="F95" s="16" t="s">
        <v>213</v>
      </c>
    </row>
    <row r="96" spans="1:6" ht="27.75" customHeight="1" x14ac:dyDescent="0.2">
      <c r="A96" s="17">
        <v>12</v>
      </c>
      <c r="B96" s="18" t="s">
        <v>214</v>
      </c>
      <c r="C96" s="17" t="s">
        <v>196</v>
      </c>
      <c r="D96" s="19" t="s">
        <v>215</v>
      </c>
      <c r="E96" s="17" t="s">
        <v>180</v>
      </c>
      <c r="F96" s="19" t="s">
        <v>216</v>
      </c>
    </row>
    <row r="98" spans="1:6" ht="25.5" customHeight="1" x14ac:dyDescent="0.2">
      <c r="A98" s="12" t="s">
        <v>217</v>
      </c>
      <c r="B98" s="12"/>
      <c r="C98" s="12"/>
      <c r="D98" s="12"/>
      <c r="E98" s="12"/>
      <c r="F98" s="12"/>
    </row>
    <row r="99" spans="1:6" ht="30" customHeight="1" x14ac:dyDescent="0.2">
      <c r="A99" s="13"/>
      <c r="B99" s="13" t="s">
        <v>218</v>
      </c>
      <c r="C99" s="13" t="s">
        <v>219</v>
      </c>
      <c r="D99" s="13"/>
      <c r="E99" s="13" t="s">
        <v>220</v>
      </c>
      <c r="F99" s="13"/>
    </row>
    <row r="100" spans="1:6" ht="36" customHeight="1" x14ac:dyDescent="0.2">
      <c r="A100" s="14">
        <v>1</v>
      </c>
      <c r="B100" s="26" t="s">
        <v>34</v>
      </c>
      <c r="C100" s="7" t="s">
        <v>221</v>
      </c>
      <c r="D100" s="7"/>
      <c r="E100" s="6" t="s">
        <v>222</v>
      </c>
      <c r="F100" s="6"/>
    </row>
    <row r="101" spans="1:6" ht="36" customHeight="1" x14ac:dyDescent="0.2">
      <c r="A101" s="17">
        <v>2</v>
      </c>
      <c r="B101" s="27" t="s">
        <v>34</v>
      </c>
      <c r="C101" s="5" t="s">
        <v>223</v>
      </c>
      <c r="D101" s="5"/>
      <c r="E101" s="4" t="s">
        <v>224</v>
      </c>
      <c r="F101" s="4"/>
    </row>
    <row r="102" spans="1:6" ht="36" customHeight="1" x14ac:dyDescent="0.2">
      <c r="A102" s="14">
        <v>3</v>
      </c>
      <c r="B102" s="26" t="s">
        <v>34</v>
      </c>
      <c r="C102" s="7" t="s">
        <v>225</v>
      </c>
      <c r="D102" s="7"/>
      <c r="E102" s="6" t="s">
        <v>226</v>
      </c>
      <c r="F102" s="6"/>
    </row>
    <row r="103" spans="1:6" ht="36" customHeight="1" x14ac:dyDescent="0.2">
      <c r="A103" s="17">
        <v>4</v>
      </c>
      <c r="B103" s="27" t="s">
        <v>34</v>
      </c>
      <c r="C103" s="5" t="s">
        <v>227</v>
      </c>
      <c r="D103" s="5"/>
      <c r="E103" s="4" t="s">
        <v>228</v>
      </c>
      <c r="F103" s="4"/>
    </row>
    <row r="104" spans="1:6" ht="36" customHeight="1" x14ac:dyDescent="0.2">
      <c r="A104" s="14">
        <v>5</v>
      </c>
      <c r="B104" s="26" t="s">
        <v>229</v>
      </c>
      <c r="C104" s="7" t="s">
        <v>230</v>
      </c>
      <c r="D104" s="7"/>
      <c r="E104" s="6" t="s">
        <v>231</v>
      </c>
      <c r="F104" s="6"/>
    </row>
    <row r="105" spans="1:6" ht="36" customHeight="1" x14ac:dyDescent="0.2">
      <c r="A105" s="17">
        <v>6</v>
      </c>
      <c r="B105" s="27" t="s">
        <v>229</v>
      </c>
      <c r="C105" s="5" t="s">
        <v>232</v>
      </c>
      <c r="D105" s="5"/>
      <c r="E105" s="4" t="s">
        <v>233</v>
      </c>
      <c r="F105" s="4"/>
    </row>
    <row r="106" spans="1:6" ht="36" customHeight="1" x14ac:dyDescent="0.2">
      <c r="A106" s="14">
        <v>7</v>
      </c>
      <c r="B106" s="26" t="s">
        <v>234</v>
      </c>
      <c r="C106" s="7" t="s">
        <v>235</v>
      </c>
      <c r="D106" s="7"/>
      <c r="E106" s="6" t="s">
        <v>236</v>
      </c>
      <c r="F106" s="6"/>
    </row>
    <row r="107" spans="1:6" ht="36" customHeight="1" x14ac:dyDescent="0.2">
      <c r="A107" s="17">
        <v>8</v>
      </c>
      <c r="B107" s="27" t="s">
        <v>234</v>
      </c>
      <c r="C107" s="5" t="s">
        <v>237</v>
      </c>
      <c r="D107" s="5"/>
      <c r="E107" s="4" t="s">
        <v>238</v>
      </c>
      <c r="F107" s="4"/>
    </row>
    <row r="108" spans="1:6" ht="36" customHeight="1" x14ac:dyDescent="0.2">
      <c r="A108" s="14">
        <v>9</v>
      </c>
      <c r="B108" s="26" t="s">
        <v>234</v>
      </c>
      <c r="C108" s="7" t="s">
        <v>239</v>
      </c>
      <c r="D108" s="7"/>
      <c r="E108" s="6" t="s">
        <v>240</v>
      </c>
      <c r="F108" s="6"/>
    </row>
  </sheetData>
  <mergeCells count="71">
    <mergeCell ref="C21:E21"/>
    <mergeCell ref="C107:D107"/>
    <mergeCell ref="E107:F107"/>
    <mergeCell ref="C108:D108"/>
    <mergeCell ref="E108:F108"/>
    <mergeCell ref="C44:E44"/>
    <mergeCell ref="C61:E61"/>
    <mergeCell ref="C104:D104"/>
    <mergeCell ref="E104:F104"/>
    <mergeCell ref="C105:D105"/>
    <mergeCell ref="E105:F105"/>
    <mergeCell ref="C106:D106"/>
    <mergeCell ref="E106:F106"/>
    <mergeCell ref="C101:D101"/>
    <mergeCell ref="E101:F101"/>
    <mergeCell ref="C102:D102"/>
    <mergeCell ref="E102:F102"/>
    <mergeCell ref="C103:D103"/>
    <mergeCell ref="E103:F103"/>
    <mergeCell ref="C68:E68"/>
    <mergeCell ref="A70:F70"/>
    <mergeCell ref="A83:F83"/>
    <mergeCell ref="A98:F98"/>
    <mergeCell ref="C100:D100"/>
    <mergeCell ref="E100:F100"/>
    <mergeCell ref="C63:E63"/>
    <mergeCell ref="C64:E64"/>
    <mergeCell ref="C65:E65"/>
    <mergeCell ref="C66:E66"/>
    <mergeCell ref="C67:E67"/>
    <mergeCell ref="C56:E56"/>
    <mergeCell ref="C57:E57"/>
    <mergeCell ref="C58:E58"/>
    <mergeCell ref="A60:F60"/>
    <mergeCell ref="C62:E62"/>
    <mergeCell ref="C51:E51"/>
    <mergeCell ref="C52:E52"/>
    <mergeCell ref="C53:E53"/>
    <mergeCell ref="C54:E54"/>
    <mergeCell ref="C55:E55"/>
    <mergeCell ref="C46:E46"/>
    <mergeCell ref="C47:E47"/>
    <mergeCell ref="C48:E48"/>
    <mergeCell ref="C49:E49"/>
    <mergeCell ref="C50:E50"/>
    <mergeCell ref="C39:E39"/>
    <mergeCell ref="C40:E40"/>
    <mergeCell ref="C41:E41"/>
    <mergeCell ref="A43:F43"/>
    <mergeCell ref="C45:E45"/>
    <mergeCell ref="C34:E34"/>
    <mergeCell ref="C35:E35"/>
    <mergeCell ref="C36:E36"/>
    <mergeCell ref="C37:E37"/>
    <mergeCell ref="C38:E38"/>
    <mergeCell ref="C27:E27"/>
    <mergeCell ref="C28:E28"/>
    <mergeCell ref="A30:F30"/>
    <mergeCell ref="C32:E32"/>
    <mergeCell ref="C33:E33"/>
    <mergeCell ref="C31:E31"/>
    <mergeCell ref="C22:E22"/>
    <mergeCell ref="C23:E23"/>
    <mergeCell ref="C24:E24"/>
    <mergeCell ref="C25:E25"/>
    <mergeCell ref="C26:E26"/>
    <mergeCell ref="C2:F2"/>
    <mergeCell ref="C3:F3"/>
    <mergeCell ref="A6:F6"/>
    <mergeCell ref="A19:F19"/>
    <mergeCell ref="A20:F20"/>
  </mergeCells>
  <conditionalFormatting sqref="C85:C96">
    <cfRule type="cellIs" dxfId="31" priority="8" operator="equal">
      <formula>"Watch"</formula>
    </cfRule>
    <cfRule type="cellIs" dxfId="30" priority="9" operator="equal">
      <formula>"Plan"</formula>
    </cfRule>
    <cfRule type="cellIs" dxfId="29" priority="10" operator="equal">
      <formula>"Action"</formula>
    </cfRule>
    <cfRule type="cellIs" dxfId="28" priority="11" operator="equal">
      <formula>"Resolved"</formula>
    </cfRule>
  </conditionalFormatting>
  <conditionalFormatting sqref="E8:E17">
    <cfRule type="cellIs" dxfId="27" priority="4" operator="equal">
      <formula>"OK"</formula>
    </cfRule>
    <cfRule type="cellIs" dxfId="26" priority="5" operator="equal">
      <formula>"Watch"</formula>
    </cfRule>
    <cfRule type="cellIs" dxfId="25" priority="6" operator="equal">
      <formula>"Action Needed"</formula>
    </cfRule>
    <cfRule type="cellIs" dxfId="24" priority="7" operator="equal">
      <formula>"Down"</formula>
    </cfRule>
  </conditionalFormatting>
  <conditionalFormatting sqref="C2:F2">
    <cfRule type="colorScale" priority="1">
      <colorScale>
        <cfvo type="min"/>
        <cfvo type="max"/>
        <color rgb="FF0661E2"/>
        <color rgb="FF04D6BF"/>
      </colorScale>
    </cfRule>
  </conditionalFormatting>
  <dataValidations disablePrompts="1" count="3">
    <dataValidation type="list" allowBlank="1" sqref="E8:E17" xr:uid="{00000000-0002-0000-0000-000000000000}">
      <formula1>"OK,Watch,Action Needed,Down"</formula1>
      <formula2>0</formula2>
    </dataValidation>
    <dataValidation type="list" allowBlank="1" sqref="B22:B28 B62:B68 B45:B58 B32:B41" xr:uid="{00000000-0002-0000-0000-000001000000}">
      <formula1>"☐,✓"</formula1>
      <formula2>0</formula2>
    </dataValidation>
    <dataValidation type="list" allowBlank="1" sqref="C85:C96" xr:uid="{00000000-0002-0000-0000-000005000000}">
      <formula1>"Watch,Plan,Action,Resolved"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H51"/>
  <sheetViews>
    <sheetView showGridLines="0" zoomScale="150" zoomScaleNormal="125" workbookViewId="0">
      <pane ySplit="5" topLeftCell="A6" activePane="bottomLeft" state="frozen"/>
      <selection pane="bottomLeft" activeCell="C3" sqref="C3:H3"/>
    </sheetView>
  </sheetViews>
  <sheetFormatPr baseColWidth="10" defaultColWidth="8.6640625" defaultRowHeight="15" x14ac:dyDescent="0.2"/>
  <cols>
    <col min="1" max="1" width="4" customWidth="1"/>
    <col min="2" max="2" width="28" style="63" customWidth="1"/>
    <col min="3" max="3" width="38" style="63" customWidth="1"/>
    <col min="4" max="5" width="12" customWidth="1"/>
    <col min="6" max="6" width="14" style="60" customWidth="1"/>
    <col min="7" max="7" width="21.1640625" style="57" customWidth="1"/>
    <col min="8" max="8" width="34.83203125" style="63" customWidth="1"/>
  </cols>
  <sheetData>
    <row r="1" spans="1:8" ht="18" customHeight="1" x14ac:dyDescent="0.2">
      <c r="A1" s="68"/>
      <c r="B1" s="69"/>
      <c r="C1" s="69"/>
      <c r="D1" s="68"/>
      <c r="E1" s="68"/>
      <c r="F1" s="70"/>
      <c r="G1" s="71"/>
      <c r="H1" s="69"/>
    </row>
    <row r="2" spans="1:8" ht="37.5" customHeight="1" x14ac:dyDescent="0.2">
      <c r="A2" s="68"/>
      <c r="B2" s="69"/>
      <c r="C2" s="73" t="s">
        <v>241</v>
      </c>
      <c r="D2" s="73"/>
      <c r="E2" s="73"/>
      <c r="F2" s="73"/>
      <c r="G2" s="73"/>
      <c r="H2" s="73"/>
    </row>
    <row r="3" spans="1:8" ht="18" customHeight="1" x14ac:dyDescent="0.2">
      <c r="A3" s="68"/>
      <c r="B3" s="69"/>
      <c r="C3" s="80" t="s">
        <v>242</v>
      </c>
      <c r="D3" s="80"/>
      <c r="E3" s="80"/>
      <c r="F3" s="80"/>
      <c r="G3" s="80"/>
      <c r="H3" s="80"/>
    </row>
    <row r="4" spans="1:8" ht="3.75" customHeight="1" x14ac:dyDescent="0.2">
      <c r="A4" s="72"/>
      <c r="B4" s="74"/>
      <c r="C4" s="74"/>
      <c r="D4" s="75"/>
      <c r="E4" s="75"/>
      <c r="F4" s="76"/>
      <c r="G4" s="77"/>
      <c r="H4" s="74"/>
    </row>
    <row r="5" spans="1:8" x14ac:dyDescent="0.2">
      <c r="A5" s="68"/>
      <c r="B5" s="69"/>
      <c r="C5" s="69"/>
      <c r="D5" s="68"/>
      <c r="E5" s="68"/>
      <c r="F5" s="70"/>
      <c r="G5" s="71"/>
      <c r="H5" s="69"/>
    </row>
    <row r="6" spans="1:8" ht="25.5" customHeight="1" x14ac:dyDescent="0.2">
      <c r="A6" s="12" t="s">
        <v>243</v>
      </c>
      <c r="B6" s="12"/>
      <c r="C6" s="12"/>
      <c r="D6" s="12"/>
      <c r="E6" s="12"/>
      <c r="F6" s="12"/>
      <c r="G6" s="12"/>
      <c r="H6" s="12"/>
    </row>
    <row r="7" spans="1:8" ht="30" customHeight="1" x14ac:dyDescent="0.2">
      <c r="A7" s="13" t="s">
        <v>3</v>
      </c>
      <c r="B7" s="13" t="s">
        <v>244</v>
      </c>
      <c r="C7" s="13" t="s">
        <v>245</v>
      </c>
      <c r="D7" s="13" t="s">
        <v>246</v>
      </c>
      <c r="E7" s="13" t="s">
        <v>247</v>
      </c>
      <c r="F7" s="13" t="s">
        <v>248</v>
      </c>
      <c r="G7" s="13" t="s">
        <v>249</v>
      </c>
      <c r="H7" s="13" t="s">
        <v>176</v>
      </c>
    </row>
    <row r="8" spans="1:8" ht="36" customHeight="1" x14ac:dyDescent="0.2">
      <c r="A8" s="14">
        <v>1</v>
      </c>
      <c r="B8" s="64" t="s">
        <v>250</v>
      </c>
      <c r="C8" s="66" t="s">
        <v>251</v>
      </c>
      <c r="D8" s="28" t="s">
        <v>252</v>
      </c>
      <c r="E8" s="14" t="s">
        <v>253</v>
      </c>
      <c r="F8" s="14" t="s">
        <v>254</v>
      </c>
      <c r="G8" s="61" t="s">
        <v>255</v>
      </c>
      <c r="H8" s="66" t="s">
        <v>256</v>
      </c>
    </row>
    <row r="9" spans="1:8" ht="36" customHeight="1" x14ac:dyDescent="0.2">
      <c r="A9" s="17">
        <v>2</v>
      </c>
      <c r="B9" s="65" t="s">
        <v>257</v>
      </c>
      <c r="C9" s="67" t="s">
        <v>258</v>
      </c>
      <c r="D9" s="25" t="s">
        <v>259</v>
      </c>
      <c r="E9" s="17" t="s">
        <v>260</v>
      </c>
      <c r="F9" s="17" t="s">
        <v>17</v>
      </c>
      <c r="G9" s="62" t="s">
        <v>261</v>
      </c>
      <c r="H9" s="67" t="s">
        <v>262</v>
      </c>
    </row>
    <row r="10" spans="1:8" ht="36" customHeight="1" x14ac:dyDescent="0.2">
      <c r="A10" s="14">
        <v>3</v>
      </c>
      <c r="B10" s="64" t="s">
        <v>263</v>
      </c>
      <c r="C10" s="66" t="s">
        <v>264</v>
      </c>
      <c r="D10" s="25" t="s">
        <v>259</v>
      </c>
      <c r="E10" s="14" t="s">
        <v>260</v>
      </c>
      <c r="F10" s="14" t="s">
        <v>17</v>
      </c>
      <c r="G10" s="61" t="s">
        <v>265</v>
      </c>
      <c r="H10" s="66" t="s">
        <v>266</v>
      </c>
    </row>
    <row r="11" spans="1:8" ht="36" customHeight="1" x14ac:dyDescent="0.2">
      <c r="A11" s="17">
        <v>4</v>
      </c>
      <c r="B11" s="65" t="s">
        <v>267</v>
      </c>
      <c r="C11" s="67" t="s">
        <v>268</v>
      </c>
      <c r="D11" s="24" t="s">
        <v>269</v>
      </c>
      <c r="E11" s="17" t="s">
        <v>260</v>
      </c>
      <c r="F11" s="17" t="s">
        <v>17</v>
      </c>
      <c r="G11" s="62" t="s">
        <v>270</v>
      </c>
      <c r="H11" s="67" t="s">
        <v>271</v>
      </c>
    </row>
    <row r="12" spans="1:8" ht="36" customHeight="1" x14ac:dyDescent="0.2">
      <c r="A12" s="14">
        <v>5</v>
      </c>
      <c r="B12" s="64" t="s">
        <v>272</v>
      </c>
      <c r="C12" s="66" t="s">
        <v>273</v>
      </c>
      <c r="D12" s="24" t="s">
        <v>269</v>
      </c>
      <c r="E12" s="14" t="s">
        <v>274</v>
      </c>
      <c r="F12" s="14" t="s">
        <v>17</v>
      </c>
      <c r="G12" s="61" t="s">
        <v>275</v>
      </c>
      <c r="H12" s="66" t="s">
        <v>276</v>
      </c>
    </row>
    <row r="13" spans="1:8" ht="36" customHeight="1" x14ac:dyDescent="0.2">
      <c r="A13" s="17">
        <v>6</v>
      </c>
      <c r="B13" s="65" t="s">
        <v>277</v>
      </c>
      <c r="C13" s="67" t="s">
        <v>278</v>
      </c>
      <c r="D13" s="24" t="s">
        <v>269</v>
      </c>
      <c r="E13" s="17" t="s">
        <v>279</v>
      </c>
      <c r="F13" s="17" t="s">
        <v>24</v>
      </c>
      <c r="G13" s="62" t="s">
        <v>280</v>
      </c>
      <c r="H13" s="67" t="s">
        <v>281</v>
      </c>
    </row>
    <row r="14" spans="1:8" ht="36" customHeight="1" x14ac:dyDescent="0.2">
      <c r="A14" s="14">
        <v>7</v>
      </c>
      <c r="B14" s="64" t="s">
        <v>282</v>
      </c>
      <c r="C14" s="66" t="s">
        <v>283</v>
      </c>
      <c r="D14" s="24" t="s">
        <v>269</v>
      </c>
      <c r="E14" s="14" t="s">
        <v>284</v>
      </c>
      <c r="F14" s="14" t="s">
        <v>24</v>
      </c>
      <c r="G14" s="61" t="s">
        <v>285</v>
      </c>
      <c r="H14" s="66" t="s">
        <v>286</v>
      </c>
    </row>
    <row r="15" spans="1:8" ht="36" customHeight="1" x14ac:dyDescent="0.2">
      <c r="A15" s="17">
        <v>8</v>
      </c>
      <c r="B15" s="65" t="s">
        <v>287</v>
      </c>
      <c r="C15" s="67" t="s">
        <v>288</v>
      </c>
      <c r="D15" s="24" t="s">
        <v>269</v>
      </c>
      <c r="E15" s="17" t="s">
        <v>260</v>
      </c>
      <c r="F15" s="17" t="s">
        <v>17</v>
      </c>
      <c r="G15" s="62" t="s">
        <v>289</v>
      </c>
      <c r="H15" s="67" t="s">
        <v>290</v>
      </c>
    </row>
    <row r="16" spans="1:8" ht="36" customHeight="1" x14ac:dyDescent="0.2">
      <c r="A16" s="14">
        <v>9</v>
      </c>
      <c r="B16" s="64" t="s">
        <v>291</v>
      </c>
      <c r="C16" s="66" t="s">
        <v>292</v>
      </c>
      <c r="D16" s="24" t="s">
        <v>269</v>
      </c>
      <c r="E16" s="14" t="s">
        <v>293</v>
      </c>
      <c r="F16" s="14" t="s">
        <v>294</v>
      </c>
      <c r="G16" s="61" t="s">
        <v>295</v>
      </c>
      <c r="H16" s="66" t="s">
        <v>296</v>
      </c>
    </row>
    <row r="17" spans="1:8" ht="36" customHeight="1" x14ac:dyDescent="0.2">
      <c r="A17" s="17">
        <v>10</v>
      </c>
      <c r="B17" s="65" t="s">
        <v>297</v>
      </c>
      <c r="C17" s="67" t="s">
        <v>298</v>
      </c>
      <c r="D17" s="24" t="s">
        <v>269</v>
      </c>
      <c r="E17" s="17" t="s">
        <v>299</v>
      </c>
      <c r="F17" s="17" t="s">
        <v>27</v>
      </c>
      <c r="G17" s="62" t="s">
        <v>300</v>
      </c>
      <c r="H17" s="67" t="s">
        <v>301</v>
      </c>
    </row>
    <row r="18" spans="1:8" ht="36" customHeight="1" x14ac:dyDescent="0.2">
      <c r="A18" s="14">
        <v>11</v>
      </c>
      <c r="B18" s="64" t="s">
        <v>302</v>
      </c>
      <c r="C18" s="66" t="s">
        <v>303</v>
      </c>
      <c r="D18" s="25" t="s">
        <v>259</v>
      </c>
      <c r="E18" s="14" t="s">
        <v>299</v>
      </c>
      <c r="F18" s="14" t="s">
        <v>27</v>
      </c>
      <c r="G18" s="61" t="s">
        <v>304</v>
      </c>
      <c r="H18" s="66" t="s">
        <v>305</v>
      </c>
    </row>
    <row r="19" spans="1:8" ht="36" customHeight="1" x14ac:dyDescent="0.2">
      <c r="A19" s="17">
        <v>12</v>
      </c>
      <c r="B19" s="65" t="s">
        <v>306</v>
      </c>
      <c r="C19" s="67" t="s">
        <v>307</v>
      </c>
      <c r="D19" s="25" t="s">
        <v>259</v>
      </c>
      <c r="E19" s="17" t="s">
        <v>308</v>
      </c>
      <c r="F19" s="17" t="s">
        <v>20</v>
      </c>
      <c r="G19" s="62" t="s">
        <v>309</v>
      </c>
      <c r="H19" s="67" t="s">
        <v>310</v>
      </c>
    </row>
    <row r="20" spans="1:8" ht="36" customHeight="1" x14ac:dyDescent="0.2">
      <c r="A20" s="14">
        <v>13</v>
      </c>
      <c r="B20" s="64" t="s">
        <v>311</v>
      </c>
      <c r="C20" s="66" t="s">
        <v>312</v>
      </c>
      <c r="D20" s="24" t="s">
        <v>269</v>
      </c>
      <c r="E20" s="14" t="s">
        <v>313</v>
      </c>
      <c r="F20" s="14" t="s">
        <v>14</v>
      </c>
      <c r="G20" s="61" t="s">
        <v>314</v>
      </c>
      <c r="H20" s="66" t="s">
        <v>315</v>
      </c>
    </row>
    <row r="21" spans="1:8" ht="36" customHeight="1" x14ac:dyDescent="0.2">
      <c r="A21" s="17">
        <v>14</v>
      </c>
      <c r="B21" s="65" t="s">
        <v>316</v>
      </c>
      <c r="C21" s="67" t="s">
        <v>317</v>
      </c>
      <c r="D21" s="24" t="s">
        <v>269</v>
      </c>
      <c r="E21" s="17" t="s">
        <v>279</v>
      </c>
      <c r="F21" s="17" t="s">
        <v>24</v>
      </c>
      <c r="G21" s="62" t="s">
        <v>318</v>
      </c>
      <c r="H21" s="67" t="s">
        <v>319</v>
      </c>
    </row>
    <row r="22" spans="1:8" ht="36" customHeight="1" x14ac:dyDescent="0.2">
      <c r="A22" s="14">
        <v>15</v>
      </c>
      <c r="B22" s="64" t="s">
        <v>320</v>
      </c>
      <c r="C22" s="66" t="s">
        <v>321</v>
      </c>
      <c r="D22" s="28" t="s">
        <v>252</v>
      </c>
      <c r="E22" s="14" t="s">
        <v>293</v>
      </c>
      <c r="F22" s="14" t="s">
        <v>294</v>
      </c>
      <c r="G22" s="61" t="s">
        <v>322</v>
      </c>
      <c r="H22" s="66" t="s">
        <v>323</v>
      </c>
    </row>
    <row r="23" spans="1:8" ht="36" customHeight="1" x14ac:dyDescent="0.2">
      <c r="A23" s="17">
        <v>16</v>
      </c>
      <c r="B23" s="65" t="s">
        <v>324</v>
      </c>
      <c r="C23" s="67" t="s">
        <v>325</v>
      </c>
      <c r="D23" s="25" t="s">
        <v>259</v>
      </c>
      <c r="E23" s="17" t="s">
        <v>293</v>
      </c>
      <c r="F23" s="17" t="s">
        <v>294</v>
      </c>
      <c r="G23" s="62" t="s">
        <v>326</v>
      </c>
      <c r="H23" s="67" t="s">
        <v>327</v>
      </c>
    </row>
    <row r="24" spans="1:8" ht="36" customHeight="1" x14ac:dyDescent="0.2">
      <c r="A24" s="14">
        <v>17</v>
      </c>
      <c r="B24" s="64" t="s">
        <v>328</v>
      </c>
      <c r="C24" s="66" t="s">
        <v>329</v>
      </c>
      <c r="D24" s="25" t="s">
        <v>259</v>
      </c>
      <c r="E24" s="14" t="s">
        <v>293</v>
      </c>
      <c r="F24" s="14" t="s">
        <v>20</v>
      </c>
      <c r="G24" s="61" t="s">
        <v>330</v>
      </c>
      <c r="H24" s="66" t="s">
        <v>331</v>
      </c>
    </row>
    <row r="25" spans="1:8" ht="36" customHeight="1" x14ac:dyDescent="0.2">
      <c r="A25" s="17">
        <v>18</v>
      </c>
      <c r="B25" s="65" t="s">
        <v>332</v>
      </c>
      <c r="C25" s="67" t="s">
        <v>333</v>
      </c>
      <c r="D25" s="29" t="s">
        <v>334</v>
      </c>
      <c r="E25" s="17" t="s">
        <v>279</v>
      </c>
      <c r="F25" s="17" t="s">
        <v>24</v>
      </c>
      <c r="G25" s="62" t="s">
        <v>335</v>
      </c>
      <c r="H25" s="67" t="s">
        <v>336</v>
      </c>
    </row>
    <row r="26" spans="1:8" ht="36" customHeight="1" x14ac:dyDescent="0.2">
      <c r="A26" s="14">
        <v>19</v>
      </c>
      <c r="B26" s="64" t="s">
        <v>337</v>
      </c>
      <c r="C26" s="66" t="s">
        <v>338</v>
      </c>
      <c r="D26" s="25" t="s">
        <v>259</v>
      </c>
      <c r="E26" s="14" t="s">
        <v>339</v>
      </c>
      <c r="F26" s="14" t="s">
        <v>294</v>
      </c>
      <c r="G26" s="61" t="s">
        <v>295</v>
      </c>
      <c r="H26" s="66" t="s">
        <v>340</v>
      </c>
    </row>
    <row r="28" spans="1:8" ht="30" customHeight="1" x14ac:dyDescent="0.2">
      <c r="A28" s="3" t="s">
        <v>341</v>
      </c>
      <c r="B28" s="3"/>
      <c r="C28" s="3"/>
      <c r="D28" s="3"/>
      <c r="E28" s="3"/>
      <c r="F28" s="3"/>
      <c r="G28" s="3"/>
      <c r="H28" s="3"/>
    </row>
    <row r="30" spans="1:8" ht="25.5" customHeight="1" x14ac:dyDescent="0.2">
      <c r="A30" s="12" t="s">
        <v>342</v>
      </c>
      <c r="B30" s="12"/>
      <c r="C30" s="12"/>
      <c r="D30" s="12"/>
      <c r="E30" s="12"/>
      <c r="F30" s="12"/>
      <c r="G30" s="12"/>
      <c r="H30" s="12"/>
    </row>
    <row r="31" spans="1:8" ht="30" customHeight="1" x14ac:dyDescent="0.2">
      <c r="A31" s="13" t="s">
        <v>343</v>
      </c>
      <c r="B31" s="13" t="s">
        <v>244</v>
      </c>
      <c r="C31" s="13" t="s">
        <v>344</v>
      </c>
      <c r="D31" s="13" t="s">
        <v>246</v>
      </c>
      <c r="E31" s="13" t="s">
        <v>7</v>
      </c>
      <c r="F31" s="13" t="s">
        <v>345</v>
      </c>
      <c r="G31" s="13" t="s">
        <v>346</v>
      </c>
      <c r="H31" s="13" t="s">
        <v>347</v>
      </c>
    </row>
    <row r="32" spans="1:8" ht="31.5" customHeight="1" x14ac:dyDescent="0.2">
      <c r="A32" s="30">
        <v>1</v>
      </c>
      <c r="B32" s="64" t="s">
        <v>348</v>
      </c>
      <c r="C32" s="66" t="s">
        <v>349</v>
      </c>
      <c r="D32" s="14" t="s">
        <v>269</v>
      </c>
      <c r="E32" s="14" t="s">
        <v>350</v>
      </c>
      <c r="F32" s="14" t="s">
        <v>351</v>
      </c>
      <c r="G32" s="14" t="s">
        <v>352</v>
      </c>
      <c r="H32" s="66"/>
    </row>
    <row r="33" spans="1:8" ht="31.5" customHeight="1" x14ac:dyDescent="0.2">
      <c r="A33" s="30">
        <v>2</v>
      </c>
      <c r="B33" s="65" t="s">
        <v>353</v>
      </c>
      <c r="C33" s="67" t="s">
        <v>354</v>
      </c>
      <c r="D33" s="17" t="s">
        <v>269</v>
      </c>
      <c r="E33" s="17" t="s">
        <v>350</v>
      </c>
      <c r="F33" s="17" t="s">
        <v>355</v>
      </c>
      <c r="G33" s="17" t="s">
        <v>356</v>
      </c>
      <c r="H33" s="67"/>
    </row>
    <row r="34" spans="1:8" ht="31.5" customHeight="1" x14ac:dyDescent="0.2">
      <c r="A34" s="30">
        <v>3</v>
      </c>
      <c r="B34" s="64" t="s">
        <v>357</v>
      </c>
      <c r="C34" s="66" t="s">
        <v>358</v>
      </c>
      <c r="D34" s="14" t="s">
        <v>269</v>
      </c>
      <c r="E34" s="14" t="s">
        <v>350</v>
      </c>
      <c r="F34" s="14" t="s">
        <v>351</v>
      </c>
      <c r="G34" s="14" t="s">
        <v>156</v>
      </c>
      <c r="H34" s="66"/>
    </row>
    <row r="35" spans="1:8" ht="31.5" customHeight="1" x14ac:dyDescent="0.2">
      <c r="A35" s="30">
        <v>4</v>
      </c>
      <c r="B35" s="65" t="s">
        <v>359</v>
      </c>
      <c r="C35" s="67" t="s">
        <v>360</v>
      </c>
      <c r="D35" s="17" t="s">
        <v>269</v>
      </c>
      <c r="E35" s="17" t="s">
        <v>350</v>
      </c>
      <c r="F35" s="17" t="s">
        <v>351</v>
      </c>
      <c r="G35" s="17" t="s">
        <v>361</v>
      </c>
      <c r="H35" s="67"/>
    </row>
    <row r="36" spans="1:8" ht="31.5" customHeight="1" x14ac:dyDescent="0.2">
      <c r="A36" s="30">
        <v>5</v>
      </c>
      <c r="B36" s="64" t="s">
        <v>362</v>
      </c>
      <c r="C36" s="66" t="s">
        <v>363</v>
      </c>
      <c r="D36" s="14" t="s">
        <v>269</v>
      </c>
      <c r="E36" s="14" t="s">
        <v>350</v>
      </c>
      <c r="F36" s="14" t="s">
        <v>364</v>
      </c>
      <c r="G36" s="14" t="s">
        <v>365</v>
      </c>
      <c r="H36" s="66"/>
    </row>
    <row r="37" spans="1:8" ht="31.5" customHeight="1" x14ac:dyDescent="0.2">
      <c r="A37" s="30">
        <v>6</v>
      </c>
      <c r="B37" s="65" t="s">
        <v>366</v>
      </c>
      <c r="C37" s="67" t="s">
        <v>367</v>
      </c>
      <c r="D37" s="17" t="s">
        <v>269</v>
      </c>
      <c r="E37" s="17" t="s">
        <v>350</v>
      </c>
      <c r="F37" s="17" t="s">
        <v>351</v>
      </c>
      <c r="G37" s="17" t="s">
        <v>156</v>
      </c>
      <c r="H37" s="67"/>
    </row>
    <row r="38" spans="1:8" ht="31.5" customHeight="1" x14ac:dyDescent="0.2">
      <c r="A38" s="30">
        <v>7</v>
      </c>
      <c r="B38" s="64" t="s">
        <v>368</v>
      </c>
      <c r="C38" s="66" t="s">
        <v>369</v>
      </c>
      <c r="D38" s="14" t="s">
        <v>259</v>
      </c>
      <c r="E38" s="14" t="s">
        <v>350</v>
      </c>
      <c r="F38" s="14" t="s">
        <v>351</v>
      </c>
      <c r="G38" s="14" t="s">
        <v>370</v>
      </c>
      <c r="H38" s="66"/>
    </row>
    <row r="39" spans="1:8" ht="31.5" customHeight="1" x14ac:dyDescent="0.2">
      <c r="A39" s="30">
        <v>8</v>
      </c>
      <c r="B39" s="65" t="s">
        <v>371</v>
      </c>
      <c r="C39" s="67" t="s">
        <v>372</v>
      </c>
      <c r="D39" s="17" t="s">
        <v>269</v>
      </c>
      <c r="E39" s="17" t="s">
        <v>350</v>
      </c>
      <c r="F39" s="17" t="s">
        <v>373</v>
      </c>
      <c r="G39" s="17" t="s">
        <v>294</v>
      </c>
      <c r="H39" s="67"/>
    </row>
    <row r="40" spans="1:8" ht="31.5" customHeight="1" x14ac:dyDescent="0.2">
      <c r="A40" s="30">
        <v>9</v>
      </c>
      <c r="B40" s="64" t="s">
        <v>374</v>
      </c>
      <c r="C40" s="66" t="s">
        <v>375</v>
      </c>
      <c r="D40" s="14" t="s">
        <v>259</v>
      </c>
      <c r="E40" s="14" t="s">
        <v>350</v>
      </c>
      <c r="F40" s="14" t="s">
        <v>364</v>
      </c>
      <c r="G40" s="14" t="s">
        <v>294</v>
      </c>
      <c r="H40" s="66"/>
    </row>
    <row r="41" spans="1:8" ht="31.5" customHeight="1" x14ac:dyDescent="0.2">
      <c r="A41" s="30">
        <v>10</v>
      </c>
      <c r="B41" s="65" t="s">
        <v>376</v>
      </c>
      <c r="C41" s="67" t="s">
        <v>377</v>
      </c>
      <c r="D41" s="17" t="s">
        <v>269</v>
      </c>
      <c r="E41" s="17" t="s">
        <v>350</v>
      </c>
      <c r="F41" s="17" t="s">
        <v>373</v>
      </c>
      <c r="G41" s="17" t="s">
        <v>156</v>
      </c>
      <c r="H41" s="67"/>
    </row>
    <row r="42" spans="1:8" ht="31.5" customHeight="1" x14ac:dyDescent="0.2">
      <c r="A42" s="30">
        <v>11</v>
      </c>
      <c r="B42" s="64" t="s">
        <v>378</v>
      </c>
      <c r="C42" s="66" t="s">
        <v>379</v>
      </c>
      <c r="D42" s="14" t="s">
        <v>269</v>
      </c>
      <c r="E42" s="14" t="s">
        <v>350</v>
      </c>
      <c r="F42" s="14" t="s">
        <v>351</v>
      </c>
      <c r="G42" s="14" t="s">
        <v>380</v>
      </c>
      <c r="H42" s="66"/>
    </row>
    <row r="43" spans="1:8" ht="31.5" customHeight="1" x14ac:dyDescent="0.2">
      <c r="A43" s="30">
        <v>12</v>
      </c>
      <c r="B43" s="65" t="s">
        <v>381</v>
      </c>
      <c r="C43" s="67" t="s">
        <v>382</v>
      </c>
      <c r="D43" s="17" t="s">
        <v>269</v>
      </c>
      <c r="E43" s="17" t="s">
        <v>350</v>
      </c>
      <c r="F43" s="17" t="s">
        <v>351</v>
      </c>
      <c r="G43" s="17" t="s">
        <v>156</v>
      </c>
      <c r="H43" s="67"/>
    </row>
    <row r="44" spans="1:8" ht="31.5" customHeight="1" x14ac:dyDescent="0.2">
      <c r="A44" s="30">
        <v>13</v>
      </c>
      <c r="B44" s="64" t="s">
        <v>383</v>
      </c>
      <c r="C44" s="66" t="s">
        <v>384</v>
      </c>
      <c r="D44" s="14" t="s">
        <v>269</v>
      </c>
      <c r="E44" s="14" t="s">
        <v>350</v>
      </c>
      <c r="F44" s="14" t="s">
        <v>373</v>
      </c>
      <c r="G44" s="14" t="s">
        <v>385</v>
      </c>
      <c r="H44" s="66"/>
    </row>
    <row r="45" spans="1:8" ht="31.5" customHeight="1" x14ac:dyDescent="0.2">
      <c r="A45" s="30">
        <v>14</v>
      </c>
      <c r="B45" s="65" t="s">
        <v>386</v>
      </c>
      <c r="C45" s="67" t="s">
        <v>387</v>
      </c>
      <c r="D45" s="17" t="s">
        <v>259</v>
      </c>
      <c r="E45" s="17" t="s">
        <v>350</v>
      </c>
      <c r="F45" s="17" t="s">
        <v>351</v>
      </c>
      <c r="G45" s="17" t="s">
        <v>14</v>
      </c>
      <c r="H45" s="67"/>
    </row>
    <row r="46" spans="1:8" ht="31.5" customHeight="1" x14ac:dyDescent="0.2">
      <c r="A46" s="30">
        <v>15</v>
      </c>
      <c r="B46" s="64" t="s">
        <v>388</v>
      </c>
      <c r="C46" s="66" t="s">
        <v>389</v>
      </c>
      <c r="D46" s="14" t="s">
        <v>269</v>
      </c>
      <c r="E46" s="14" t="s">
        <v>350</v>
      </c>
      <c r="F46" s="14" t="s">
        <v>373</v>
      </c>
      <c r="G46" s="14" t="s">
        <v>390</v>
      </c>
      <c r="H46" s="66"/>
    </row>
    <row r="47" spans="1:8" ht="31.5" customHeight="1" x14ac:dyDescent="0.2">
      <c r="A47" s="30">
        <v>16</v>
      </c>
      <c r="B47" s="65" t="s">
        <v>391</v>
      </c>
      <c r="C47" s="67" t="s">
        <v>392</v>
      </c>
      <c r="D47" s="17" t="s">
        <v>269</v>
      </c>
      <c r="E47" s="17" t="s">
        <v>350</v>
      </c>
      <c r="F47" s="17" t="s">
        <v>364</v>
      </c>
      <c r="G47" s="17" t="s">
        <v>393</v>
      </c>
      <c r="H47" s="67"/>
    </row>
    <row r="48" spans="1:8" ht="31.5" customHeight="1" x14ac:dyDescent="0.2">
      <c r="A48" s="30">
        <v>17</v>
      </c>
      <c r="B48" s="64" t="s">
        <v>394</v>
      </c>
      <c r="C48" s="66" t="s">
        <v>395</v>
      </c>
      <c r="D48" s="14" t="s">
        <v>269</v>
      </c>
      <c r="E48" s="14" t="s">
        <v>350</v>
      </c>
      <c r="F48" s="14" t="s">
        <v>373</v>
      </c>
      <c r="G48" s="14" t="s">
        <v>396</v>
      </c>
      <c r="H48" s="66"/>
    </row>
    <row r="49" spans="1:8" ht="31.5" customHeight="1" x14ac:dyDescent="0.2">
      <c r="A49" s="30">
        <v>18</v>
      </c>
      <c r="B49" s="65" t="s">
        <v>397</v>
      </c>
      <c r="C49" s="67" t="s">
        <v>398</v>
      </c>
      <c r="D49" s="17" t="s">
        <v>259</v>
      </c>
      <c r="E49" s="17" t="s">
        <v>350</v>
      </c>
      <c r="F49" s="17" t="s">
        <v>373</v>
      </c>
      <c r="G49" s="17" t="s">
        <v>294</v>
      </c>
      <c r="H49" s="67"/>
    </row>
    <row r="50" spans="1:8" ht="31.5" customHeight="1" x14ac:dyDescent="0.2">
      <c r="A50" s="30">
        <v>19</v>
      </c>
      <c r="B50" s="64" t="s">
        <v>399</v>
      </c>
      <c r="C50" s="66" t="s">
        <v>400</v>
      </c>
      <c r="D50" s="14" t="s">
        <v>269</v>
      </c>
      <c r="E50" s="14" t="s">
        <v>350</v>
      </c>
      <c r="F50" s="14" t="s">
        <v>351</v>
      </c>
      <c r="G50" s="14" t="s">
        <v>401</v>
      </c>
      <c r="H50" s="66"/>
    </row>
    <row r="51" spans="1:8" ht="31.5" customHeight="1" x14ac:dyDescent="0.2">
      <c r="A51" s="30">
        <v>20</v>
      </c>
      <c r="B51" s="65" t="s">
        <v>402</v>
      </c>
      <c r="C51" s="67" t="s">
        <v>403</v>
      </c>
      <c r="D51" s="17" t="s">
        <v>269</v>
      </c>
      <c r="E51" s="17" t="s">
        <v>350</v>
      </c>
      <c r="F51" s="17" t="s">
        <v>373</v>
      </c>
      <c r="G51" s="17" t="s">
        <v>404</v>
      </c>
      <c r="H51" s="67"/>
    </row>
  </sheetData>
  <mergeCells count="5">
    <mergeCell ref="C2:H2"/>
    <mergeCell ref="C3:H3"/>
    <mergeCell ref="A6:H6"/>
    <mergeCell ref="A28:H28"/>
    <mergeCell ref="A30:H30"/>
  </mergeCells>
  <conditionalFormatting sqref="A32:A51">
    <cfRule type="colorScale" priority="8">
      <colorScale>
        <cfvo type="min"/>
        <cfvo type="percentile" val="50"/>
        <cfvo type="max"/>
        <color rgb="FFC9A84C"/>
        <color rgb="FFFFFFFF"/>
        <color rgb="FF4FC3F7"/>
      </colorScale>
    </cfRule>
  </conditionalFormatting>
  <conditionalFormatting sqref="D32:D51">
    <cfRule type="cellIs" dxfId="15" priority="9" operator="equal">
      <formula>"Premium"</formula>
    </cfRule>
    <cfRule type="cellIs" dxfId="14" priority="10" operator="equal">
      <formula>"Free"</formula>
    </cfRule>
    <cfRule type="cellIs" dxfId="13" priority="11" operator="equal">
      <formula>"Both"</formula>
    </cfRule>
  </conditionalFormatting>
  <conditionalFormatting sqref="E32:E51">
    <cfRule type="cellIs" dxfId="12" priority="3" operator="equal">
      <formula>"Backlog"</formula>
    </cfRule>
    <cfRule type="cellIs" dxfId="11" priority="4" operator="equal">
      <formula>"Planned"</formula>
    </cfRule>
    <cfRule type="cellIs" dxfId="10" priority="5" operator="equal">
      <formula>"In Progress"</formula>
    </cfRule>
    <cfRule type="cellIs" dxfId="9" priority="6" operator="equal">
      <formula>"Live"</formula>
    </cfRule>
    <cfRule type="cellIs" dxfId="8" priority="7" operator="equal">
      <formula>"Cut"</formula>
    </cfRule>
  </conditionalFormatting>
  <conditionalFormatting sqref="C2:H2">
    <cfRule type="colorScale" priority="1">
      <colorScale>
        <cfvo type="min"/>
        <cfvo type="max"/>
        <color rgb="FF0661E2"/>
        <color rgb="FF04D6BF"/>
      </colorScale>
    </cfRule>
  </conditionalFormatting>
  <dataValidations count="3">
    <dataValidation type="list" allowBlank="1" sqref="E32:E51" xr:uid="{00000000-0002-0000-0100-000000000000}">
      <formula1>"Backlog,Planned,In Progress,Live,Cut"</formula1>
      <formula2>0</formula2>
    </dataValidation>
    <dataValidation type="list" allowBlank="1" sqref="D32:D51" xr:uid="{00000000-0002-0000-0100-000001000000}">
      <formula1>"Free,Premium,Both,Internal"</formula1>
      <formula2>0</formula2>
    </dataValidation>
    <dataValidation type="list" allowBlank="1" sqref="F32:F51" xr:uid="{00000000-0002-0000-0100-000002000000}">
      <formula1>"XS (hrs),S (1d),M (3d),L (1wk),XL (2+wk)"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H91"/>
  <sheetViews>
    <sheetView showGridLines="0" zoomScaleNormal="100" workbookViewId="0">
      <selection activeCell="B3" sqref="B3:E3"/>
    </sheetView>
  </sheetViews>
  <sheetFormatPr baseColWidth="10" defaultColWidth="8.6640625" defaultRowHeight="15" x14ac:dyDescent="0.2"/>
  <cols>
    <col min="1" max="1" width="32" customWidth="1"/>
    <col min="2" max="7" width="16" customWidth="1"/>
    <col min="8" max="8" width="18" customWidth="1"/>
  </cols>
  <sheetData>
    <row r="1" spans="1:8" ht="18" customHeight="1" x14ac:dyDescent="0.2">
      <c r="A1" s="68"/>
      <c r="B1" s="69"/>
      <c r="C1" s="69"/>
      <c r="D1" s="68"/>
      <c r="E1" s="68"/>
      <c r="F1" s="70"/>
      <c r="G1" s="71"/>
      <c r="H1" s="69"/>
    </row>
    <row r="2" spans="1:8" ht="37.5" customHeight="1" x14ac:dyDescent="0.2">
      <c r="A2" s="68"/>
      <c r="B2" s="73" t="s">
        <v>405</v>
      </c>
      <c r="C2" s="73"/>
      <c r="D2" s="73"/>
      <c r="E2" s="73"/>
      <c r="F2" s="78"/>
      <c r="G2" s="78"/>
      <c r="H2" s="78"/>
    </row>
    <row r="3" spans="1:8" ht="18" customHeight="1" x14ac:dyDescent="0.2">
      <c r="A3" s="68"/>
      <c r="B3" s="80" t="s">
        <v>406</v>
      </c>
      <c r="C3" s="80"/>
      <c r="D3" s="80"/>
      <c r="E3" s="80"/>
      <c r="F3" s="79"/>
      <c r="G3" s="79"/>
      <c r="H3" s="79"/>
    </row>
    <row r="4" spans="1:8" ht="3.75" customHeight="1" x14ac:dyDescent="0.2">
      <c r="A4" s="75"/>
      <c r="B4" s="74"/>
      <c r="C4" s="74"/>
      <c r="D4" s="75"/>
      <c r="E4" s="75"/>
      <c r="F4" s="76"/>
      <c r="G4" s="77"/>
      <c r="H4" s="74"/>
    </row>
    <row r="5" spans="1:8" x14ac:dyDescent="0.2">
      <c r="A5" s="68"/>
      <c r="B5" s="69"/>
      <c r="C5" s="69"/>
      <c r="D5" s="68"/>
      <c r="E5" s="68"/>
      <c r="F5" s="70"/>
      <c r="G5" s="71"/>
      <c r="H5" s="69"/>
    </row>
    <row r="6" spans="1:8" ht="25.5" customHeight="1" x14ac:dyDescent="0.2">
      <c r="A6" s="12" t="s">
        <v>407</v>
      </c>
      <c r="B6" s="12"/>
      <c r="C6" s="12"/>
      <c r="D6" s="12"/>
      <c r="E6" s="12"/>
      <c r="F6" s="12"/>
      <c r="G6" s="12"/>
      <c r="H6" s="12"/>
    </row>
    <row r="7" spans="1:8" ht="19.5" customHeight="1" x14ac:dyDescent="0.2">
      <c r="A7" s="11" t="s">
        <v>408</v>
      </c>
      <c r="B7" s="11"/>
      <c r="C7" s="11"/>
      <c r="D7" s="11"/>
      <c r="E7" s="11"/>
      <c r="F7" s="11"/>
      <c r="G7" s="11"/>
      <c r="H7" s="11"/>
    </row>
    <row r="8" spans="1:8" ht="30" customHeight="1" x14ac:dyDescent="0.2">
      <c r="A8" s="13" t="s">
        <v>409</v>
      </c>
      <c r="B8" s="13" t="s">
        <v>410</v>
      </c>
      <c r="C8" s="13" t="s">
        <v>411</v>
      </c>
      <c r="D8" s="2" t="s">
        <v>176</v>
      </c>
      <c r="E8" s="2"/>
      <c r="F8" s="2"/>
      <c r="G8" s="2"/>
      <c r="H8" s="2"/>
    </row>
    <row r="9" spans="1:8" ht="15" customHeight="1" x14ac:dyDescent="0.2">
      <c r="A9" s="31" t="s">
        <v>412</v>
      </c>
      <c r="B9" s="32">
        <v>100</v>
      </c>
      <c r="C9" s="33" t="s">
        <v>413</v>
      </c>
      <c r="D9" s="1" t="s">
        <v>414</v>
      </c>
      <c r="E9" s="1"/>
      <c r="F9" s="1"/>
      <c r="G9" s="1"/>
      <c r="H9" s="1"/>
    </row>
    <row r="10" spans="1:8" ht="15" customHeight="1" x14ac:dyDescent="0.2">
      <c r="A10" s="31" t="s">
        <v>415</v>
      </c>
      <c r="B10" s="34">
        <v>0.03</v>
      </c>
      <c r="C10" s="33" t="s">
        <v>416</v>
      </c>
      <c r="D10" s="1" t="s">
        <v>417</v>
      </c>
      <c r="E10" s="1"/>
      <c r="F10" s="1"/>
      <c r="G10" s="1"/>
      <c r="H10" s="1"/>
    </row>
    <row r="11" spans="1:8" ht="15" customHeight="1" x14ac:dyDescent="0.2">
      <c r="A11" s="31" t="s">
        <v>418</v>
      </c>
      <c r="B11" s="35">
        <v>3</v>
      </c>
      <c r="C11" s="33" t="s">
        <v>419</v>
      </c>
      <c r="D11" s="1" t="s">
        <v>420</v>
      </c>
      <c r="E11" s="1"/>
      <c r="F11" s="1"/>
      <c r="G11" s="1"/>
      <c r="H11" s="1"/>
    </row>
    <row r="12" spans="1:8" ht="15" customHeight="1" x14ac:dyDescent="0.2">
      <c r="A12" s="31" t="s">
        <v>421</v>
      </c>
      <c r="B12" s="34">
        <v>0.4</v>
      </c>
      <c r="C12" s="33" t="s">
        <v>416</v>
      </c>
      <c r="D12" s="1" t="s">
        <v>422</v>
      </c>
      <c r="E12" s="1"/>
      <c r="F12" s="1"/>
      <c r="G12" s="1"/>
      <c r="H12" s="1"/>
    </row>
    <row r="13" spans="1:8" ht="15" customHeight="1" x14ac:dyDescent="0.2">
      <c r="A13" s="31" t="s">
        <v>423</v>
      </c>
      <c r="B13" s="32">
        <v>5</v>
      </c>
      <c r="C13" s="33" t="s">
        <v>424</v>
      </c>
      <c r="D13" s="1" t="s">
        <v>425</v>
      </c>
      <c r="E13" s="1"/>
      <c r="F13" s="1"/>
      <c r="G13" s="1"/>
      <c r="H13" s="1"/>
    </row>
    <row r="14" spans="1:8" ht="15" customHeight="1" x14ac:dyDescent="0.2">
      <c r="A14" s="31" t="s">
        <v>426</v>
      </c>
      <c r="B14" s="32">
        <v>3</v>
      </c>
      <c r="C14" s="33" t="s">
        <v>424</v>
      </c>
      <c r="D14" s="1" t="s">
        <v>427</v>
      </c>
      <c r="E14" s="1"/>
      <c r="F14" s="1"/>
      <c r="G14" s="1"/>
      <c r="H14" s="1"/>
    </row>
    <row r="15" spans="1:8" ht="15" customHeight="1" x14ac:dyDescent="0.2">
      <c r="A15" s="31" t="s">
        <v>428</v>
      </c>
      <c r="B15" s="32">
        <v>8</v>
      </c>
      <c r="C15" s="33" t="s">
        <v>424</v>
      </c>
      <c r="D15" s="1" t="s">
        <v>429</v>
      </c>
      <c r="E15" s="1"/>
      <c r="F15" s="1"/>
      <c r="G15" s="1"/>
      <c r="H15" s="1"/>
    </row>
    <row r="16" spans="1:8" ht="15" customHeight="1" x14ac:dyDescent="0.2">
      <c r="A16" s="31" t="s">
        <v>430</v>
      </c>
      <c r="B16" s="32">
        <v>0.3</v>
      </c>
      <c r="C16" s="33" t="s">
        <v>431</v>
      </c>
      <c r="D16" s="1" t="s">
        <v>432</v>
      </c>
      <c r="E16" s="1"/>
      <c r="F16" s="1"/>
      <c r="G16" s="1"/>
      <c r="H16" s="1"/>
    </row>
    <row r="17" spans="1:8" ht="15" customHeight="1" x14ac:dyDescent="0.2">
      <c r="A17" s="31" t="s">
        <v>433</v>
      </c>
      <c r="B17" s="36">
        <v>1E-3</v>
      </c>
      <c r="C17" s="33" t="s">
        <v>434</v>
      </c>
      <c r="D17" s="1" t="s">
        <v>435</v>
      </c>
      <c r="E17" s="1"/>
      <c r="F17" s="1"/>
      <c r="G17" s="1"/>
      <c r="H17" s="1"/>
    </row>
    <row r="18" spans="1:8" ht="15" customHeight="1" x14ac:dyDescent="0.2">
      <c r="A18" s="31" t="s">
        <v>436</v>
      </c>
      <c r="B18" s="36">
        <v>7.0000000000000001E-3</v>
      </c>
      <c r="C18" s="33" t="s">
        <v>434</v>
      </c>
      <c r="D18" s="1" t="s">
        <v>437</v>
      </c>
      <c r="E18" s="1"/>
      <c r="F18" s="1"/>
      <c r="G18" s="1"/>
      <c r="H18" s="1"/>
    </row>
    <row r="19" spans="1:8" ht="15" customHeight="1" x14ac:dyDescent="0.2">
      <c r="A19" s="31" t="s">
        <v>438</v>
      </c>
      <c r="B19" s="34">
        <v>2.9000000000000001E-2</v>
      </c>
      <c r="C19" s="33" t="s">
        <v>416</v>
      </c>
      <c r="D19" s="1" t="s">
        <v>439</v>
      </c>
      <c r="E19" s="1"/>
      <c r="F19" s="1"/>
      <c r="G19" s="1"/>
      <c r="H19" s="1"/>
    </row>
    <row r="20" spans="1:8" ht="15" customHeight="1" x14ac:dyDescent="0.2">
      <c r="A20" s="31" t="s">
        <v>440</v>
      </c>
      <c r="B20" s="35">
        <v>0.3</v>
      </c>
      <c r="C20" s="33" t="s">
        <v>434</v>
      </c>
      <c r="D20" s="1" t="s">
        <v>441</v>
      </c>
      <c r="E20" s="1"/>
      <c r="F20" s="1"/>
      <c r="G20" s="1"/>
      <c r="H20" s="1"/>
    </row>
    <row r="22" spans="1:8" ht="19.5" customHeight="1" x14ac:dyDescent="0.2">
      <c r="A22" s="11" t="s">
        <v>442</v>
      </c>
      <c r="B22" s="11"/>
      <c r="C22" s="11"/>
      <c r="D22" s="11"/>
      <c r="E22" s="11"/>
      <c r="F22" s="11"/>
      <c r="G22" s="11"/>
      <c r="H22" s="11"/>
    </row>
    <row r="23" spans="1:8" ht="30" customHeight="1" x14ac:dyDescent="0.2">
      <c r="A23" s="13" t="s">
        <v>4</v>
      </c>
      <c r="B23" s="13" t="s">
        <v>178</v>
      </c>
      <c r="C23" s="13" t="s">
        <v>443</v>
      </c>
      <c r="D23" s="2" t="s">
        <v>176</v>
      </c>
      <c r="E23" s="2"/>
      <c r="F23" s="2"/>
      <c r="G23" s="2"/>
      <c r="H23" s="2"/>
    </row>
    <row r="24" spans="1:8" ht="15" customHeight="1" x14ac:dyDescent="0.2">
      <c r="A24" s="31" t="s">
        <v>444</v>
      </c>
      <c r="B24" s="33" t="s">
        <v>445</v>
      </c>
      <c r="C24" s="35">
        <v>0</v>
      </c>
      <c r="D24" s="1" t="s">
        <v>446</v>
      </c>
      <c r="E24" s="1"/>
      <c r="F24" s="1"/>
      <c r="G24" s="1"/>
      <c r="H24" s="1"/>
    </row>
    <row r="25" spans="1:8" ht="15" customHeight="1" x14ac:dyDescent="0.2">
      <c r="A25" s="31" t="s">
        <v>447</v>
      </c>
      <c r="B25" s="33" t="s">
        <v>448</v>
      </c>
      <c r="C25" s="35">
        <v>0</v>
      </c>
      <c r="D25" s="1" t="s">
        <v>449</v>
      </c>
      <c r="E25" s="1"/>
      <c r="F25" s="1"/>
      <c r="G25" s="1"/>
      <c r="H25" s="1"/>
    </row>
    <row r="26" spans="1:8" ht="15" customHeight="1" x14ac:dyDescent="0.2">
      <c r="A26" s="31" t="s">
        <v>24</v>
      </c>
      <c r="B26" s="33" t="s">
        <v>450</v>
      </c>
      <c r="C26" s="35">
        <v>0</v>
      </c>
      <c r="D26" s="1" t="s">
        <v>451</v>
      </c>
      <c r="E26" s="1"/>
      <c r="F26" s="1"/>
      <c r="G26" s="1"/>
      <c r="H26" s="1"/>
    </row>
    <row r="27" spans="1:8" ht="15" customHeight="1" x14ac:dyDescent="0.2">
      <c r="A27" s="31" t="s">
        <v>452</v>
      </c>
      <c r="B27" s="33" t="s">
        <v>453</v>
      </c>
      <c r="C27" s="35">
        <v>0</v>
      </c>
      <c r="D27" s="1" t="s">
        <v>454</v>
      </c>
      <c r="E27" s="1"/>
      <c r="F27" s="1"/>
      <c r="G27" s="1"/>
      <c r="H27" s="1"/>
    </row>
    <row r="28" spans="1:8" ht="15" customHeight="1" x14ac:dyDescent="0.2">
      <c r="A28" s="31" t="s">
        <v>455</v>
      </c>
      <c r="B28" s="33" t="s">
        <v>448</v>
      </c>
      <c r="C28" s="35">
        <v>0</v>
      </c>
      <c r="D28" s="1" t="s">
        <v>456</v>
      </c>
      <c r="E28" s="1"/>
      <c r="F28" s="1"/>
      <c r="G28" s="1"/>
      <c r="H28" s="1"/>
    </row>
    <row r="29" spans="1:8" ht="15" customHeight="1" x14ac:dyDescent="0.2">
      <c r="A29" s="31" t="s">
        <v>14</v>
      </c>
      <c r="B29" s="33" t="s">
        <v>457</v>
      </c>
      <c r="C29" s="35">
        <v>0</v>
      </c>
      <c r="D29" s="1" t="s">
        <v>458</v>
      </c>
      <c r="E29" s="1"/>
      <c r="F29" s="1"/>
      <c r="G29" s="1"/>
      <c r="H29" s="1"/>
    </row>
    <row r="30" spans="1:8" ht="15" customHeight="1" x14ac:dyDescent="0.2">
      <c r="A30" s="31" t="s">
        <v>459</v>
      </c>
      <c r="B30" s="33" t="s">
        <v>460</v>
      </c>
      <c r="C30" s="35">
        <v>1</v>
      </c>
      <c r="D30" s="1" t="s">
        <v>461</v>
      </c>
      <c r="E30" s="1"/>
      <c r="F30" s="1"/>
      <c r="G30" s="1"/>
      <c r="H30" s="1"/>
    </row>
    <row r="31" spans="1:8" ht="15" customHeight="1" x14ac:dyDescent="0.2">
      <c r="A31" s="31" t="s">
        <v>462</v>
      </c>
      <c r="B31" s="33" t="s">
        <v>294</v>
      </c>
      <c r="C31" s="35">
        <v>0</v>
      </c>
      <c r="D31" s="1" t="s">
        <v>463</v>
      </c>
      <c r="E31" s="1"/>
      <c r="F31" s="1"/>
      <c r="G31" s="1"/>
      <c r="H31" s="1"/>
    </row>
    <row r="32" spans="1:8" x14ac:dyDescent="0.2">
      <c r="A32" s="37" t="s">
        <v>464</v>
      </c>
      <c r="B32" s="38"/>
      <c r="C32" s="39">
        <f>SUM(C24:C31)</f>
        <v>1</v>
      </c>
      <c r="D32" s="54"/>
      <c r="E32" s="54"/>
      <c r="F32" s="54"/>
      <c r="G32" s="54"/>
      <c r="H32" s="54"/>
    </row>
    <row r="34" spans="1:8" ht="25.5" customHeight="1" x14ac:dyDescent="0.2">
      <c r="A34" s="12" t="s">
        <v>465</v>
      </c>
      <c r="B34" s="12"/>
      <c r="C34" s="12"/>
      <c r="D34" s="12"/>
      <c r="E34" s="12"/>
      <c r="F34" s="12"/>
      <c r="G34" s="12"/>
      <c r="H34" s="12"/>
    </row>
    <row r="35" spans="1:8" x14ac:dyDescent="0.2">
      <c r="A35" s="55" t="s">
        <v>466</v>
      </c>
      <c r="B35" s="55"/>
      <c r="C35" s="55"/>
      <c r="D35" s="55"/>
      <c r="E35" s="55"/>
      <c r="F35" s="55"/>
      <c r="G35" s="55"/>
      <c r="H35" s="55"/>
    </row>
    <row r="36" spans="1:8" ht="30" customHeight="1" x14ac:dyDescent="0.2">
      <c r="A36" s="13" t="s">
        <v>467</v>
      </c>
      <c r="B36" s="13" t="s">
        <v>130</v>
      </c>
      <c r="C36" s="13" t="s">
        <v>468</v>
      </c>
      <c r="D36" s="13" t="s">
        <v>469</v>
      </c>
      <c r="E36" s="13" t="s">
        <v>470</v>
      </c>
      <c r="F36" s="13" t="s">
        <v>471</v>
      </c>
      <c r="G36" s="13" t="s">
        <v>472</v>
      </c>
      <c r="H36" s="13" t="s">
        <v>176</v>
      </c>
    </row>
    <row r="37" spans="1:8" ht="26" x14ac:dyDescent="0.2">
      <c r="A37" s="31" t="s">
        <v>473</v>
      </c>
      <c r="B37" s="40">
        <f>CurrentUsers</f>
        <v>100</v>
      </c>
      <c r="C37" s="41">
        <v>100</v>
      </c>
      <c r="D37" s="41">
        <v>1000</v>
      </c>
      <c r="E37" s="41">
        <v>10000</v>
      </c>
      <c r="F37" s="41">
        <v>100000</v>
      </c>
      <c r="G37" s="41">
        <v>500000</v>
      </c>
      <c r="H37" s="22" t="s">
        <v>474</v>
      </c>
    </row>
    <row r="38" spans="1:8" x14ac:dyDescent="0.2">
      <c r="A38" s="42" t="s">
        <v>475</v>
      </c>
      <c r="B38" s="43">
        <f t="shared" ref="B38:G38" si="0">B37*ActivePct</f>
        <v>40</v>
      </c>
      <c r="C38" s="43">
        <f t="shared" si="0"/>
        <v>40</v>
      </c>
      <c r="D38" s="43">
        <f t="shared" si="0"/>
        <v>400</v>
      </c>
      <c r="E38" s="43">
        <f t="shared" si="0"/>
        <v>4000</v>
      </c>
      <c r="F38" s="43">
        <f t="shared" si="0"/>
        <v>40000</v>
      </c>
      <c r="G38" s="43">
        <f t="shared" si="0"/>
        <v>200000</v>
      </c>
      <c r="H38" s="22" t="s">
        <v>476</v>
      </c>
    </row>
    <row r="39" spans="1:8" x14ac:dyDescent="0.2">
      <c r="A39" s="42" t="s">
        <v>477</v>
      </c>
      <c r="B39" s="43">
        <f t="shared" ref="B39:G39" si="1">B37*ConvRate</f>
        <v>3</v>
      </c>
      <c r="C39" s="43">
        <f t="shared" si="1"/>
        <v>3</v>
      </c>
      <c r="D39" s="43">
        <f t="shared" si="1"/>
        <v>30</v>
      </c>
      <c r="E39" s="43">
        <f t="shared" si="1"/>
        <v>300</v>
      </c>
      <c r="F39" s="43">
        <f t="shared" si="1"/>
        <v>3000</v>
      </c>
      <c r="G39" s="43">
        <f t="shared" si="1"/>
        <v>15000</v>
      </c>
      <c r="H39" s="22" t="s">
        <v>478</v>
      </c>
    </row>
    <row r="40" spans="1:8" x14ac:dyDescent="0.2">
      <c r="A40" s="42" t="s">
        <v>479</v>
      </c>
      <c r="B40" s="43">
        <f t="shared" ref="B40:G40" si="2">MAX(0,B38-B39)</f>
        <v>37</v>
      </c>
      <c r="C40" s="43">
        <f t="shared" si="2"/>
        <v>37</v>
      </c>
      <c r="D40" s="43">
        <f t="shared" si="2"/>
        <v>370</v>
      </c>
      <c r="E40" s="43">
        <f t="shared" si="2"/>
        <v>3700</v>
      </c>
      <c r="F40" s="43">
        <f t="shared" si="2"/>
        <v>37000</v>
      </c>
      <c r="G40" s="43">
        <f t="shared" si="2"/>
        <v>185000</v>
      </c>
      <c r="H40" s="22" t="s">
        <v>480</v>
      </c>
    </row>
    <row r="42" spans="1:8" x14ac:dyDescent="0.2">
      <c r="A42" s="37" t="s">
        <v>481</v>
      </c>
      <c r="B42" s="38"/>
      <c r="C42" s="38"/>
      <c r="D42" s="38"/>
      <c r="E42" s="38"/>
      <c r="F42" s="38"/>
      <c r="G42" s="38"/>
      <c r="H42" s="38"/>
    </row>
    <row r="43" spans="1:8" x14ac:dyDescent="0.2">
      <c r="A43" s="42" t="s">
        <v>482</v>
      </c>
      <c r="B43" s="44">
        <f t="shared" ref="B43:G43" si="3">B39*SubPrice</f>
        <v>9</v>
      </c>
      <c r="C43" s="44">
        <f t="shared" si="3"/>
        <v>9</v>
      </c>
      <c r="D43" s="44">
        <f t="shared" si="3"/>
        <v>90</v>
      </c>
      <c r="E43" s="44">
        <f t="shared" si="3"/>
        <v>900</v>
      </c>
      <c r="F43" s="44">
        <f t="shared" si="3"/>
        <v>9000</v>
      </c>
      <c r="G43" s="44">
        <f t="shared" si="3"/>
        <v>45000</v>
      </c>
      <c r="H43" s="22" t="s">
        <v>483</v>
      </c>
    </row>
    <row r="44" spans="1:8" x14ac:dyDescent="0.2">
      <c r="A44" s="42" t="s">
        <v>484</v>
      </c>
      <c r="B44" s="44">
        <f t="shared" ref="B44:G44" si="4">B43*12</f>
        <v>108</v>
      </c>
      <c r="C44" s="44">
        <f t="shared" si="4"/>
        <v>108</v>
      </c>
      <c r="D44" s="44">
        <f t="shared" si="4"/>
        <v>1080</v>
      </c>
      <c r="E44" s="44">
        <f t="shared" si="4"/>
        <v>10800</v>
      </c>
      <c r="F44" s="44">
        <f t="shared" si="4"/>
        <v>108000</v>
      </c>
      <c r="G44" s="44">
        <f t="shared" si="4"/>
        <v>540000</v>
      </c>
      <c r="H44" s="22" t="s">
        <v>485</v>
      </c>
    </row>
    <row r="45" spans="1:8" ht="26" x14ac:dyDescent="0.2">
      <c r="A45" s="42" t="s">
        <v>486</v>
      </c>
      <c r="B45" s="44">
        <f t="shared" ref="B45:G45" si="5">B43*StripePct+B39*StripeFixed</f>
        <v>1.161</v>
      </c>
      <c r="C45" s="44">
        <f t="shared" si="5"/>
        <v>1.161</v>
      </c>
      <c r="D45" s="44">
        <f t="shared" si="5"/>
        <v>11.61</v>
      </c>
      <c r="E45" s="44">
        <f t="shared" si="5"/>
        <v>116.1</v>
      </c>
      <c r="F45" s="44">
        <f t="shared" si="5"/>
        <v>1161</v>
      </c>
      <c r="G45" s="44">
        <f t="shared" si="5"/>
        <v>5805</v>
      </c>
      <c r="H45" s="22" t="s">
        <v>487</v>
      </c>
    </row>
    <row r="46" spans="1:8" x14ac:dyDescent="0.2">
      <c r="A46" s="45" t="s">
        <v>488</v>
      </c>
      <c r="B46" s="46">
        <f t="shared" ref="B46:G46" si="6">B43-B45</f>
        <v>7.8390000000000004</v>
      </c>
      <c r="C46" s="46">
        <f t="shared" si="6"/>
        <v>7.8390000000000004</v>
      </c>
      <c r="D46" s="46">
        <f t="shared" si="6"/>
        <v>78.39</v>
      </c>
      <c r="E46" s="46">
        <f t="shared" si="6"/>
        <v>783.9</v>
      </c>
      <c r="F46" s="46">
        <f t="shared" si="6"/>
        <v>7839</v>
      </c>
      <c r="G46" s="46">
        <f t="shared" si="6"/>
        <v>39195</v>
      </c>
      <c r="H46" s="22" t="s">
        <v>489</v>
      </c>
    </row>
    <row r="48" spans="1:8" x14ac:dyDescent="0.2">
      <c r="A48" s="37" t="s">
        <v>490</v>
      </c>
      <c r="B48" s="38"/>
      <c r="C48" s="38"/>
      <c r="D48" s="38"/>
      <c r="E48" s="38"/>
      <c r="F48" s="38"/>
      <c r="G48" s="38"/>
      <c r="H48" s="38"/>
    </row>
    <row r="49" spans="1:8" ht="26" x14ac:dyDescent="0.2">
      <c r="A49" s="42" t="s">
        <v>491</v>
      </c>
      <c r="B49" s="44">
        <f t="shared" ref="B49:G49" si="7">B40*MIN(FreeAvgQ,FreeLimit)*30*CostPerQ</f>
        <v>3.33</v>
      </c>
      <c r="C49" s="44">
        <f t="shared" si="7"/>
        <v>3.33</v>
      </c>
      <c r="D49" s="44">
        <f t="shared" si="7"/>
        <v>33.299999999999997</v>
      </c>
      <c r="E49" s="44">
        <f t="shared" si="7"/>
        <v>333</v>
      </c>
      <c r="F49" s="44">
        <f t="shared" si="7"/>
        <v>3330</v>
      </c>
      <c r="G49" s="44">
        <f t="shared" si="7"/>
        <v>16650</v>
      </c>
      <c r="H49" s="22" t="s">
        <v>492</v>
      </c>
    </row>
    <row r="50" spans="1:8" ht="26" x14ac:dyDescent="0.2">
      <c r="A50" s="42" t="s">
        <v>493</v>
      </c>
      <c r="B50" s="44">
        <f t="shared" ref="B50:G50" si="8">B39*30*(PaidAvgQ*CostPerQ+PaidAvgInt*CostPerInt)</f>
        <v>0.90899999999999992</v>
      </c>
      <c r="C50" s="44">
        <f t="shared" si="8"/>
        <v>0.90899999999999992</v>
      </c>
      <c r="D50" s="44">
        <f t="shared" si="8"/>
        <v>9.09</v>
      </c>
      <c r="E50" s="44">
        <f t="shared" si="8"/>
        <v>90.899999999999991</v>
      </c>
      <c r="F50" s="44">
        <f t="shared" si="8"/>
        <v>909</v>
      </c>
      <c r="G50" s="44">
        <f t="shared" si="8"/>
        <v>4545</v>
      </c>
      <c r="H50" s="22" t="s">
        <v>494</v>
      </c>
    </row>
    <row r="51" spans="1:8" x14ac:dyDescent="0.2">
      <c r="A51" s="45" t="s">
        <v>495</v>
      </c>
      <c r="B51" s="46">
        <f t="shared" ref="B51:G51" si="9">B49+B50</f>
        <v>4.2389999999999999</v>
      </c>
      <c r="C51" s="46">
        <f t="shared" si="9"/>
        <v>4.2389999999999999</v>
      </c>
      <c r="D51" s="46">
        <f t="shared" si="9"/>
        <v>42.39</v>
      </c>
      <c r="E51" s="46">
        <f t="shared" si="9"/>
        <v>423.9</v>
      </c>
      <c r="F51" s="46">
        <f t="shared" si="9"/>
        <v>4239</v>
      </c>
      <c r="G51" s="46">
        <f t="shared" si="9"/>
        <v>21195</v>
      </c>
      <c r="H51" s="22" t="s">
        <v>496</v>
      </c>
    </row>
    <row r="52" spans="1:8" ht="30" x14ac:dyDescent="0.2">
      <c r="A52" s="42" t="s">
        <v>497</v>
      </c>
      <c r="B52" s="47">
        <f>FixedCosts</f>
        <v>1</v>
      </c>
      <c r="C52" s="44">
        <f>FixedCosts+IF(C37&gt;5000,20,0)+IF(C37&gt;10000,25+MAX(0,(C38-10000))*0.02,0)+IF(C37&gt;2000,5,0)+IF(C39&gt;3000,20,0)</f>
        <v>1</v>
      </c>
      <c r="D52" s="44">
        <f>FixedCosts+IF(D37&gt;5000,20,0)+IF(D37&gt;10000,25+MAX(0,(D38-10000))*0.02,0)+IF(D37&gt;2000,5,0)+IF(D39&gt;3000,20,0)</f>
        <v>1</v>
      </c>
      <c r="E52" s="44">
        <f>FixedCosts+IF(E37&gt;5000,20,0)+IF(E37&gt;10000,25+MAX(0,(E38-10000))*0.02,0)+IF(E37&gt;2000,5,0)+IF(E39&gt;3000,20,0)</f>
        <v>26</v>
      </c>
      <c r="F52" s="44">
        <f>FixedCosts+IF(F37&gt;5000,20,0)+IF(F37&gt;10000,25+MAX(0,(F38-10000))*0.02,0)+IF(F37&gt;2000,5,0)+IF(F39&gt;3000,20,0)</f>
        <v>651</v>
      </c>
      <c r="G52" s="44">
        <f>FixedCosts+IF(G37&gt;5000,20,0)+IF(G37&gt;10000,25+MAX(0,(G38-10000))*0.02,0)+IF(G37&gt;2000,5,0)+IF(G39&gt;3000,20,0)</f>
        <v>3871</v>
      </c>
      <c r="H52" s="22" t="s">
        <v>498</v>
      </c>
    </row>
    <row r="53" spans="1:8" x14ac:dyDescent="0.2">
      <c r="A53" s="45" t="s">
        <v>499</v>
      </c>
      <c r="B53" s="46">
        <f t="shared" ref="B53:G53" si="10">B51+B52</f>
        <v>5.2389999999999999</v>
      </c>
      <c r="C53" s="46">
        <f t="shared" si="10"/>
        <v>5.2389999999999999</v>
      </c>
      <c r="D53" s="46">
        <f t="shared" si="10"/>
        <v>43.39</v>
      </c>
      <c r="E53" s="46">
        <f t="shared" si="10"/>
        <v>449.9</v>
      </c>
      <c r="F53" s="46">
        <f t="shared" si="10"/>
        <v>4890</v>
      </c>
      <c r="G53" s="46">
        <f t="shared" si="10"/>
        <v>25066</v>
      </c>
      <c r="H53" s="22" t="s">
        <v>500</v>
      </c>
    </row>
    <row r="55" spans="1:8" x14ac:dyDescent="0.2">
      <c r="A55" s="37" t="s">
        <v>501</v>
      </c>
      <c r="B55" s="38"/>
      <c r="C55" s="38"/>
      <c r="D55" s="38"/>
      <c r="E55" s="38"/>
      <c r="F55" s="38"/>
      <c r="G55" s="38"/>
      <c r="H55" s="38"/>
    </row>
    <row r="56" spans="1:8" ht="30" x14ac:dyDescent="0.2">
      <c r="A56" s="45" t="s">
        <v>502</v>
      </c>
      <c r="B56" s="48">
        <f t="shared" ref="B56:G56" si="11">B46-B53</f>
        <v>2.6000000000000005</v>
      </c>
      <c r="C56" s="48">
        <f t="shared" si="11"/>
        <v>2.6000000000000005</v>
      </c>
      <c r="D56" s="48">
        <f t="shared" si="11"/>
        <v>35</v>
      </c>
      <c r="E56" s="48">
        <f t="shared" si="11"/>
        <v>334</v>
      </c>
      <c r="F56" s="48">
        <f t="shared" si="11"/>
        <v>2949</v>
      </c>
      <c r="G56" s="48">
        <f t="shared" si="11"/>
        <v>14129</v>
      </c>
      <c r="H56" s="22" t="s">
        <v>503</v>
      </c>
    </row>
    <row r="57" spans="1:8" x14ac:dyDescent="0.2">
      <c r="A57" s="42" t="s">
        <v>504</v>
      </c>
      <c r="B57" s="49">
        <f t="shared" ref="B57:G57" si="12">IFERROR(B56/B46,0)</f>
        <v>0.33167495854063023</v>
      </c>
      <c r="C57" s="49">
        <f t="shared" si="12"/>
        <v>0.33167495854063023</v>
      </c>
      <c r="D57" s="49">
        <f t="shared" si="12"/>
        <v>0.44648552111238676</v>
      </c>
      <c r="E57" s="49">
        <f t="shared" si="12"/>
        <v>0.42607475443296339</v>
      </c>
      <c r="F57" s="49">
        <f t="shared" si="12"/>
        <v>0.37619594336012246</v>
      </c>
      <c r="G57" s="49">
        <f t="shared" si="12"/>
        <v>0.36047965301696644</v>
      </c>
      <c r="H57" s="22" t="s">
        <v>505</v>
      </c>
    </row>
    <row r="58" spans="1:8" x14ac:dyDescent="0.2">
      <c r="A58" s="45" t="s">
        <v>506</v>
      </c>
      <c r="B58" s="48">
        <f t="shared" ref="B58:G58" si="13">B56*12</f>
        <v>31.200000000000006</v>
      </c>
      <c r="C58" s="48">
        <f t="shared" si="13"/>
        <v>31.200000000000006</v>
      </c>
      <c r="D58" s="48">
        <f t="shared" si="13"/>
        <v>420</v>
      </c>
      <c r="E58" s="48">
        <f t="shared" si="13"/>
        <v>4008</v>
      </c>
      <c r="F58" s="48">
        <f t="shared" si="13"/>
        <v>35388</v>
      </c>
      <c r="G58" s="48">
        <f t="shared" si="13"/>
        <v>169548</v>
      </c>
      <c r="H58" s="22" t="s">
        <v>507</v>
      </c>
    </row>
    <row r="59" spans="1:8" x14ac:dyDescent="0.2">
      <c r="A59" s="42" t="s">
        <v>508</v>
      </c>
      <c r="B59" s="50">
        <f t="shared" ref="B59:G59" si="14">IFERROR(B53/B38,0)</f>
        <v>0.13097500000000001</v>
      </c>
      <c r="C59" s="50">
        <f t="shared" si="14"/>
        <v>0.13097500000000001</v>
      </c>
      <c r="D59" s="50">
        <f t="shared" si="14"/>
        <v>0.108475</v>
      </c>
      <c r="E59" s="50">
        <f t="shared" si="14"/>
        <v>0.11247499999999999</v>
      </c>
      <c r="F59" s="50">
        <f t="shared" si="14"/>
        <v>0.12225</v>
      </c>
      <c r="G59" s="50">
        <f t="shared" si="14"/>
        <v>0.12533</v>
      </c>
      <c r="H59" s="22" t="s">
        <v>509</v>
      </c>
    </row>
    <row r="60" spans="1:8" x14ac:dyDescent="0.2">
      <c r="A60" s="42" t="s">
        <v>510</v>
      </c>
      <c r="B60" s="50">
        <f t="shared" ref="B60:G60" si="15">IFERROR(B46/B38,0)</f>
        <v>0.19597500000000001</v>
      </c>
      <c r="C60" s="50">
        <f t="shared" si="15"/>
        <v>0.19597500000000001</v>
      </c>
      <c r="D60" s="50">
        <f t="shared" si="15"/>
        <v>0.19597500000000001</v>
      </c>
      <c r="E60" s="50">
        <f t="shared" si="15"/>
        <v>0.19597499999999998</v>
      </c>
      <c r="F60" s="50">
        <f t="shared" si="15"/>
        <v>0.19597500000000001</v>
      </c>
      <c r="G60" s="50">
        <f t="shared" si="15"/>
        <v>0.19597500000000001</v>
      </c>
      <c r="H60" s="22" t="s">
        <v>511</v>
      </c>
    </row>
    <row r="62" spans="1:8" ht="25.5" customHeight="1" x14ac:dyDescent="0.2">
      <c r="A62" s="12" t="s">
        <v>512</v>
      </c>
      <c r="B62" s="12"/>
      <c r="C62" s="12"/>
      <c r="D62" s="12"/>
      <c r="E62" s="12"/>
      <c r="F62" s="12"/>
      <c r="G62" s="12"/>
      <c r="H62" s="12"/>
    </row>
    <row r="63" spans="1:8" x14ac:dyDescent="0.2">
      <c r="A63" s="55" t="s">
        <v>513</v>
      </c>
      <c r="B63" s="55"/>
      <c r="C63" s="55"/>
      <c r="D63" s="55"/>
      <c r="E63" s="55"/>
      <c r="F63" s="55"/>
      <c r="G63" s="55"/>
      <c r="H63" s="55"/>
    </row>
    <row r="64" spans="1:8" ht="15" customHeight="1" x14ac:dyDescent="0.2">
      <c r="A64" s="31" t="s">
        <v>514</v>
      </c>
      <c r="B64" s="51">
        <v>5000</v>
      </c>
      <c r="C64" s="56" t="s">
        <v>515</v>
      </c>
      <c r="D64" s="56"/>
      <c r="E64" s="56"/>
      <c r="F64" s="56"/>
      <c r="G64" s="56"/>
      <c r="H64" s="56"/>
    </row>
    <row r="66" spans="1:8" ht="30" customHeight="1" x14ac:dyDescent="0.2">
      <c r="A66" s="13" t="s">
        <v>516</v>
      </c>
      <c r="B66" s="13" t="s">
        <v>410</v>
      </c>
      <c r="C66" s="13" t="s">
        <v>517</v>
      </c>
      <c r="D66" s="13"/>
      <c r="E66" s="13"/>
      <c r="F66" s="13"/>
      <c r="G66" s="13"/>
      <c r="H66" s="13"/>
    </row>
    <row r="67" spans="1:8" ht="15" customHeight="1" x14ac:dyDescent="0.2">
      <c r="A67" s="42" t="s">
        <v>473</v>
      </c>
      <c r="B67" s="43">
        <f>Slider</f>
        <v>5000</v>
      </c>
      <c r="C67" s="1" t="s">
        <v>518</v>
      </c>
      <c r="D67" s="1"/>
      <c r="E67" s="1"/>
      <c r="F67" s="1"/>
      <c r="G67" s="1"/>
      <c r="H67" s="1"/>
    </row>
    <row r="68" spans="1:8" ht="15" customHeight="1" x14ac:dyDescent="0.2">
      <c r="A68" s="42" t="s">
        <v>475</v>
      </c>
      <c r="B68" s="43">
        <f>Slider*ActivePct</f>
        <v>2000</v>
      </c>
      <c r="C68" s="1" t="s">
        <v>519</v>
      </c>
      <c r="D68" s="1"/>
      <c r="E68" s="1"/>
      <c r="F68" s="1"/>
      <c r="G68" s="1"/>
      <c r="H68" s="1"/>
    </row>
    <row r="69" spans="1:8" ht="15" customHeight="1" x14ac:dyDescent="0.2">
      <c r="A69" s="42" t="s">
        <v>477</v>
      </c>
      <c r="B69" s="43">
        <f>Slider*ConvRate</f>
        <v>150</v>
      </c>
      <c r="C69" s="1" t="s">
        <v>520</v>
      </c>
      <c r="D69" s="1"/>
      <c r="E69" s="1"/>
      <c r="F69" s="1"/>
      <c r="G69" s="1"/>
      <c r="H69" s="1"/>
    </row>
    <row r="70" spans="1:8" ht="15" customHeight="1" x14ac:dyDescent="0.2">
      <c r="A70" s="42" t="s">
        <v>479</v>
      </c>
      <c r="B70" s="43">
        <f>MAX(0,Slider*ActivePct-Slider*ConvRate)</f>
        <v>1850</v>
      </c>
      <c r="C70" s="1" t="s">
        <v>480</v>
      </c>
      <c r="D70" s="1"/>
      <c r="E70" s="1"/>
      <c r="F70" s="1"/>
      <c r="G70" s="1"/>
      <c r="H70" s="1"/>
    </row>
    <row r="71" spans="1:8" ht="15" customHeight="1" x14ac:dyDescent="0.2">
      <c r="A71" s="42" t="s">
        <v>521</v>
      </c>
      <c r="B71" s="44">
        <f>Slider*ConvRate*SubPrice</f>
        <v>450</v>
      </c>
      <c r="C71" s="1" t="s">
        <v>522</v>
      </c>
      <c r="D71" s="1"/>
      <c r="E71" s="1"/>
      <c r="F71" s="1"/>
      <c r="G71" s="1"/>
      <c r="H71" s="1"/>
    </row>
    <row r="72" spans="1:8" ht="15" customHeight="1" x14ac:dyDescent="0.2">
      <c r="A72" s="42" t="s">
        <v>523</v>
      </c>
      <c r="B72" s="44">
        <f>Slider*ConvRate*SubPrice*12</f>
        <v>5400</v>
      </c>
      <c r="C72" s="1" t="s">
        <v>485</v>
      </c>
      <c r="D72" s="1"/>
      <c r="E72" s="1"/>
      <c r="F72" s="1"/>
      <c r="G72" s="1"/>
      <c r="H72" s="1"/>
    </row>
    <row r="73" spans="1:8" ht="15" customHeight="1" x14ac:dyDescent="0.2">
      <c r="A73" s="42" t="s">
        <v>524</v>
      </c>
      <c r="B73" s="44">
        <f>(Slider*ConvRate*SubPrice)*StripePct+(Slider*ConvRate)*StripeFixed</f>
        <v>58.05</v>
      </c>
      <c r="C73" s="1" t="s">
        <v>525</v>
      </c>
      <c r="D73" s="1"/>
      <c r="E73" s="1"/>
      <c r="F73" s="1"/>
      <c r="G73" s="1"/>
      <c r="H73" s="1"/>
    </row>
    <row r="74" spans="1:8" ht="15" customHeight="1" x14ac:dyDescent="0.2">
      <c r="A74" s="45" t="s">
        <v>526</v>
      </c>
      <c r="B74" s="44">
        <f>Slider*ConvRate*SubPrice-((Slider*ConvRate*SubPrice)*StripePct+(Slider*ConvRate)*StripeFixed)</f>
        <v>391.95</v>
      </c>
      <c r="C74" s="1" t="s">
        <v>527</v>
      </c>
      <c r="D74" s="1"/>
      <c r="E74" s="1"/>
      <c r="F74" s="1"/>
      <c r="G74" s="1"/>
      <c r="H74" s="1"/>
    </row>
    <row r="75" spans="1:8" ht="15" customHeight="1" x14ac:dyDescent="0.2">
      <c r="A75" s="42" t="s">
        <v>528</v>
      </c>
      <c r="B75" s="44">
        <f>MAX(0,Slider*ActivePct-Slider*ConvRate)*MIN(FreeAvgQ,FreeLimit)*30*CostPerQ</f>
        <v>166.5</v>
      </c>
      <c r="C75" s="1" t="s">
        <v>529</v>
      </c>
      <c r="D75" s="1"/>
      <c r="E75" s="1"/>
      <c r="F75" s="1"/>
      <c r="G75" s="1"/>
      <c r="H75" s="1"/>
    </row>
    <row r="76" spans="1:8" ht="15" customHeight="1" x14ac:dyDescent="0.2">
      <c r="A76" s="42" t="s">
        <v>530</v>
      </c>
      <c r="B76" s="44">
        <f>Slider*ConvRate*30*(PaidAvgQ*CostPerQ+PaidAvgInt*CostPerInt)</f>
        <v>45.449999999999996</v>
      </c>
      <c r="C76" s="1" t="s">
        <v>531</v>
      </c>
      <c r="D76" s="1"/>
      <c r="E76" s="1"/>
      <c r="F76" s="1"/>
      <c r="G76" s="1"/>
      <c r="H76" s="1"/>
    </row>
    <row r="77" spans="1:8" ht="15" customHeight="1" x14ac:dyDescent="0.2">
      <c r="A77" s="42" t="s">
        <v>532</v>
      </c>
      <c r="B77" s="44">
        <f>FixedCosts+IF(Slider&gt;5000,20,0)+IF(Slider&gt;10000,25+MAX(0,(Slider*ActivePct-10000))*0.02,0)+IF(Slider&gt;2000,5,0)+IF(Slider*ConvRate&gt;3000,20,0)</f>
        <v>6</v>
      </c>
      <c r="C77" s="1" t="s">
        <v>533</v>
      </c>
      <c r="D77" s="1"/>
      <c r="E77" s="1"/>
      <c r="F77" s="1"/>
      <c r="G77" s="1"/>
      <c r="H77" s="1"/>
    </row>
    <row r="78" spans="1:8" ht="15" customHeight="1" x14ac:dyDescent="0.2">
      <c r="A78" s="45" t="s">
        <v>534</v>
      </c>
      <c r="B78" s="46">
        <f>B75+B76+B77</f>
        <v>217.95</v>
      </c>
      <c r="C78" s="1" t="s">
        <v>535</v>
      </c>
      <c r="D78" s="1"/>
      <c r="E78" s="1"/>
      <c r="F78" s="1"/>
      <c r="G78" s="1"/>
      <c r="H78" s="1"/>
    </row>
    <row r="79" spans="1:8" ht="15" customHeight="1" x14ac:dyDescent="0.2">
      <c r="A79" s="45" t="s">
        <v>536</v>
      </c>
      <c r="B79" s="48">
        <f>B74-B78</f>
        <v>174</v>
      </c>
      <c r="C79" s="1" t="s">
        <v>503</v>
      </c>
      <c r="D79" s="1"/>
      <c r="E79" s="1"/>
      <c r="F79" s="1"/>
      <c r="G79" s="1"/>
      <c r="H79" s="1"/>
    </row>
    <row r="80" spans="1:8" ht="15" customHeight="1" x14ac:dyDescent="0.2">
      <c r="A80" s="42" t="s">
        <v>504</v>
      </c>
      <c r="B80" s="49">
        <f>IFERROR(B79/B74,0)</f>
        <v>0.44393417527745888</v>
      </c>
      <c r="C80" s="1" t="s">
        <v>505</v>
      </c>
      <c r="D80" s="1"/>
      <c r="E80" s="1"/>
      <c r="F80" s="1"/>
      <c r="G80" s="1"/>
      <c r="H80" s="1"/>
    </row>
    <row r="81" spans="1:8" ht="26.75" customHeight="1" x14ac:dyDescent="0.2">
      <c r="A81" s="45" t="s">
        <v>537</v>
      </c>
      <c r="B81" s="43">
        <f>IFERROR(((FixedCosts+IF(Slider&gt;5000,20,0)+IF(Slider&gt;10000,25,0)+IF(Slider&gt;2000,5,0))+(MAX(0,Slider*ActivePct-Slider*ConvRate)*MIN(FreeAvgQ,FreeLimit)*30*CostPerQ))/(SubPrice*(1-StripePct)-StripeFixed-30*(PaidAvgQ*CostPerQ+PaidAvgInt*CostPerInt)),0)</f>
        <v>74.675324675324674</v>
      </c>
      <c r="C81" s="1" t="s">
        <v>538</v>
      </c>
      <c r="D81" s="1"/>
      <c r="E81" s="1"/>
      <c r="F81" s="1"/>
      <c r="G81" s="1"/>
      <c r="H81" s="1"/>
    </row>
    <row r="83" spans="1:8" ht="25.5" customHeight="1" x14ac:dyDescent="0.2">
      <c r="A83" s="12" t="s">
        <v>539</v>
      </c>
      <c r="B83" s="12"/>
      <c r="C83" s="12"/>
      <c r="D83" s="12"/>
      <c r="E83" s="12"/>
      <c r="F83" s="12"/>
      <c r="G83" s="12"/>
      <c r="H83" s="12"/>
    </row>
    <row r="84" spans="1:8" ht="30" customHeight="1" x14ac:dyDescent="0.2">
      <c r="A84" s="13" t="s">
        <v>4</v>
      </c>
      <c r="B84" s="13" t="s">
        <v>540</v>
      </c>
      <c r="C84" s="13" t="s">
        <v>541</v>
      </c>
      <c r="D84" s="13" t="s">
        <v>542</v>
      </c>
      <c r="E84" s="13" t="s">
        <v>543</v>
      </c>
      <c r="F84" s="13" t="s">
        <v>196</v>
      </c>
      <c r="G84" s="13" t="s">
        <v>544</v>
      </c>
      <c r="H84" s="13" t="s">
        <v>176</v>
      </c>
    </row>
    <row r="85" spans="1:8" ht="27.75" customHeight="1" x14ac:dyDescent="0.2">
      <c r="A85" s="15" t="s">
        <v>444</v>
      </c>
      <c r="B85" s="16" t="s">
        <v>545</v>
      </c>
      <c r="C85" s="16" t="s">
        <v>546</v>
      </c>
      <c r="D85" s="16" t="s">
        <v>547</v>
      </c>
      <c r="E85" s="52">
        <v>20</v>
      </c>
      <c r="F85" s="16" t="s">
        <v>548</v>
      </c>
      <c r="G85" s="16" t="s">
        <v>549</v>
      </c>
      <c r="H85" s="16" t="s">
        <v>550</v>
      </c>
    </row>
    <row r="86" spans="1:8" ht="27.75" customHeight="1" x14ac:dyDescent="0.2">
      <c r="A86" s="18" t="s">
        <v>447</v>
      </c>
      <c r="B86" s="19" t="s">
        <v>551</v>
      </c>
      <c r="C86" s="19" t="s">
        <v>552</v>
      </c>
      <c r="D86" s="19" t="s">
        <v>553</v>
      </c>
      <c r="E86" s="53">
        <v>25</v>
      </c>
      <c r="F86" s="19" t="s">
        <v>554</v>
      </c>
      <c r="G86" s="19" t="s">
        <v>555</v>
      </c>
      <c r="H86" s="19" t="s">
        <v>556</v>
      </c>
    </row>
    <row r="87" spans="1:8" ht="27.75" customHeight="1" x14ac:dyDescent="0.2">
      <c r="A87" s="15" t="s">
        <v>24</v>
      </c>
      <c r="B87" s="16" t="s">
        <v>557</v>
      </c>
      <c r="C87" s="16" t="s">
        <v>558</v>
      </c>
      <c r="D87" s="16" t="s">
        <v>559</v>
      </c>
      <c r="E87" s="52">
        <v>5</v>
      </c>
      <c r="F87" s="16" t="s">
        <v>560</v>
      </c>
      <c r="G87" s="16" t="s">
        <v>561</v>
      </c>
      <c r="H87" s="16" t="s">
        <v>562</v>
      </c>
    </row>
    <row r="88" spans="1:8" ht="27.75" customHeight="1" x14ac:dyDescent="0.2">
      <c r="A88" s="18" t="s">
        <v>452</v>
      </c>
      <c r="B88" s="19" t="s">
        <v>563</v>
      </c>
      <c r="C88" s="19" t="s">
        <v>564</v>
      </c>
      <c r="D88" s="19" t="s">
        <v>565</v>
      </c>
      <c r="E88" s="53">
        <v>0</v>
      </c>
      <c r="F88" s="19" t="s">
        <v>566</v>
      </c>
      <c r="G88" s="19" t="s">
        <v>567</v>
      </c>
      <c r="H88" s="19" t="s">
        <v>568</v>
      </c>
    </row>
    <row r="89" spans="1:8" ht="27.75" customHeight="1" x14ac:dyDescent="0.2">
      <c r="A89" s="15" t="s">
        <v>455</v>
      </c>
      <c r="B89" s="16" t="s">
        <v>569</v>
      </c>
      <c r="C89" s="16" t="s">
        <v>570</v>
      </c>
      <c r="D89" s="16" t="s">
        <v>547</v>
      </c>
      <c r="E89" s="52">
        <v>20</v>
      </c>
      <c r="F89" s="16" t="s">
        <v>571</v>
      </c>
      <c r="G89" s="16" t="s">
        <v>572</v>
      </c>
      <c r="H89" s="16" t="s">
        <v>573</v>
      </c>
    </row>
    <row r="90" spans="1:8" ht="27.75" customHeight="1" x14ac:dyDescent="0.2">
      <c r="A90" s="18" t="s">
        <v>14</v>
      </c>
      <c r="B90" s="19" t="s">
        <v>457</v>
      </c>
      <c r="C90" s="19" t="s">
        <v>574</v>
      </c>
      <c r="D90" s="19" t="s">
        <v>294</v>
      </c>
      <c r="E90" s="53">
        <v>0</v>
      </c>
      <c r="F90" s="19" t="s">
        <v>294</v>
      </c>
      <c r="G90" s="19" t="s">
        <v>294</v>
      </c>
      <c r="H90" s="19" t="s">
        <v>575</v>
      </c>
    </row>
    <row r="91" spans="1:8" ht="27.75" customHeight="1" x14ac:dyDescent="0.2">
      <c r="A91" s="15" t="s">
        <v>576</v>
      </c>
      <c r="B91" s="16" t="s">
        <v>577</v>
      </c>
      <c r="C91" s="16" t="s">
        <v>578</v>
      </c>
      <c r="D91" s="16" t="s">
        <v>579</v>
      </c>
      <c r="E91" s="52">
        <v>12</v>
      </c>
      <c r="F91" s="16" t="s">
        <v>580</v>
      </c>
      <c r="G91" s="16" t="s">
        <v>581</v>
      </c>
      <c r="H91" s="16" t="s">
        <v>582</v>
      </c>
    </row>
  </sheetData>
  <mergeCells count="49">
    <mergeCell ref="C79:H79"/>
    <mergeCell ref="C80:H80"/>
    <mergeCell ref="C81:H81"/>
    <mergeCell ref="A83:H83"/>
    <mergeCell ref="B2:E2"/>
    <mergeCell ref="B3:E3"/>
    <mergeCell ref="C74:H74"/>
    <mergeCell ref="C75:H75"/>
    <mergeCell ref="C76:H76"/>
    <mergeCell ref="C77:H77"/>
    <mergeCell ref="C78:H78"/>
    <mergeCell ref="C69:H69"/>
    <mergeCell ref="C70:H70"/>
    <mergeCell ref="C71:H71"/>
    <mergeCell ref="C72:H72"/>
    <mergeCell ref="C73:H73"/>
    <mergeCell ref="A62:H62"/>
    <mergeCell ref="A63:H63"/>
    <mergeCell ref="C64:H64"/>
    <mergeCell ref="C67:H67"/>
    <mergeCell ref="C68:H68"/>
    <mergeCell ref="D30:H30"/>
    <mergeCell ref="D31:H31"/>
    <mergeCell ref="D32:H32"/>
    <mergeCell ref="A34:H34"/>
    <mergeCell ref="A35:H35"/>
    <mergeCell ref="D25:H25"/>
    <mergeCell ref="D26:H26"/>
    <mergeCell ref="D27:H27"/>
    <mergeCell ref="D28:H28"/>
    <mergeCell ref="D29:H29"/>
    <mergeCell ref="D19:H19"/>
    <mergeCell ref="D20:H20"/>
    <mergeCell ref="A22:H22"/>
    <mergeCell ref="D23:H23"/>
    <mergeCell ref="D24:H24"/>
    <mergeCell ref="D14:H14"/>
    <mergeCell ref="D15:H15"/>
    <mergeCell ref="D16:H16"/>
    <mergeCell ref="D17:H17"/>
    <mergeCell ref="D18:H18"/>
    <mergeCell ref="D9:H9"/>
    <mergeCell ref="D10:H10"/>
    <mergeCell ref="D11:H11"/>
    <mergeCell ref="D12:H12"/>
    <mergeCell ref="D13:H13"/>
    <mergeCell ref="A6:H6"/>
    <mergeCell ref="A7:H7"/>
    <mergeCell ref="D8:H8"/>
  </mergeCells>
  <conditionalFormatting sqref="F2:H2 B2">
    <cfRule type="colorScale" priority="1">
      <colorScale>
        <cfvo type="min"/>
        <cfvo type="max"/>
        <color rgb="FF0661E2"/>
        <color rgb="FF04D6BF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1B2A"/>
  </sheetPr>
  <dimension ref="A1:E106"/>
  <sheetViews>
    <sheetView showGridLines="0" zoomScaleNormal="100" workbookViewId="0">
      <pane ySplit="5" topLeftCell="A6" activePane="bottomLeft" state="frozen"/>
      <selection pane="bottomLeft" activeCell="C3" sqref="C3:E3"/>
    </sheetView>
  </sheetViews>
  <sheetFormatPr baseColWidth="10" defaultColWidth="8.6640625" defaultRowHeight="15" x14ac:dyDescent="0.2"/>
  <cols>
    <col min="1" max="1" width="4" customWidth="1"/>
    <col min="2" max="2" width="24" customWidth="1"/>
    <col min="3" max="3" width="22" customWidth="1"/>
    <col min="4" max="4" width="24" customWidth="1"/>
    <col min="5" max="5" width="50" customWidth="1"/>
  </cols>
  <sheetData>
    <row r="1" spans="1:5" ht="18" customHeight="1" x14ac:dyDescent="0.2">
      <c r="A1" s="68"/>
      <c r="B1" s="69"/>
      <c r="C1" s="69"/>
      <c r="D1" s="68"/>
      <c r="E1" s="68"/>
    </row>
    <row r="2" spans="1:5" ht="37.5" customHeight="1" x14ac:dyDescent="0.2">
      <c r="A2" s="68"/>
      <c r="B2" s="69"/>
      <c r="C2" s="73" t="s">
        <v>583</v>
      </c>
      <c r="D2" s="73"/>
      <c r="E2" s="73"/>
    </row>
    <row r="3" spans="1:5" ht="18" customHeight="1" x14ac:dyDescent="0.2">
      <c r="A3" s="68"/>
      <c r="B3" s="69"/>
      <c r="C3" s="80" t="s">
        <v>584</v>
      </c>
      <c r="D3" s="80"/>
      <c r="E3" s="80"/>
    </row>
    <row r="4" spans="1:5" ht="3.75" customHeight="1" x14ac:dyDescent="0.2">
      <c r="A4" s="72"/>
      <c r="B4" s="74"/>
      <c r="C4" s="74"/>
      <c r="D4" s="75"/>
      <c r="E4" s="75"/>
    </row>
    <row r="5" spans="1:5" x14ac:dyDescent="0.2">
      <c r="A5" s="68"/>
      <c r="B5" s="69"/>
      <c r="C5" s="69"/>
      <c r="D5" s="68"/>
      <c r="E5" s="68"/>
    </row>
    <row r="6" spans="1:5" ht="25.5" customHeight="1" x14ac:dyDescent="0.2">
      <c r="A6" s="12" t="s">
        <v>585</v>
      </c>
      <c r="B6" s="12"/>
      <c r="C6" s="12"/>
      <c r="D6" s="12"/>
      <c r="E6" s="12"/>
    </row>
    <row r="7" spans="1:5" ht="30" customHeight="1" x14ac:dyDescent="0.2">
      <c r="A7" s="13"/>
      <c r="B7" s="13" t="s">
        <v>586</v>
      </c>
      <c r="C7" s="13" t="s">
        <v>587</v>
      </c>
      <c r="D7" s="13" t="s">
        <v>588</v>
      </c>
      <c r="E7" s="13" t="s">
        <v>589</v>
      </c>
    </row>
    <row r="8" spans="1:5" ht="24" customHeight="1" x14ac:dyDescent="0.2">
      <c r="A8" s="14">
        <v>1</v>
      </c>
      <c r="B8" s="15" t="s">
        <v>590</v>
      </c>
      <c r="C8" s="16" t="s">
        <v>591</v>
      </c>
      <c r="D8" s="14" t="s">
        <v>135</v>
      </c>
      <c r="E8" s="16" t="s">
        <v>592</v>
      </c>
    </row>
    <row r="9" spans="1:5" ht="24" customHeight="1" x14ac:dyDescent="0.2">
      <c r="A9" s="17">
        <v>2</v>
      </c>
      <c r="B9" s="18" t="s">
        <v>593</v>
      </c>
      <c r="C9" s="19" t="s">
        <v>594</v>
      </c>
      <c r="D9" s="17" t="s">
        <v>140</v>
      </c>
      <c r="E9" s="19" t="s">
        <v>595</v>
      </c>
    </row>
    <row r="10" spans="1:5" ht="24" customHeight="1" x14ac:dyDescent="0.2">
      <c r="A10" s="14">
        <v>3</v>
      </c>
      <c r="B10" s="15" t="s">
        <v>596</v>
      </c>
      <c r="C10" s="16" t="s">
        <v>597</v>
      </c>
      <c r="D10" s="14" t="s">
        <v>145</v>
      </c>
      <c r="E10" s="16" t="s">
        <v>598</v>
      </c>
    </row>
    <row r="11" spans="1:5" ht="24" customHeight="1" x14ac:dyDescent="0.2">
      <c r="A11" s="17">
        <v>4</v>
      </c>
      <c r="B11" s="18" t="s">
        <v>599</v>
      </c>
      <c r="C11" s="19" t="s">
        <v>600</v>
      </c>
      <c r="D11" s="17" t="s">
        <v>294</v>
      </c>
      <c r="E11" s="19" t="s">
        <v>601</v>
      </c>
    </row>
    <row r="12" spans="1:5" ht="24" customHeight="1" x14ac:dyDescent="0.2">
      <c r="A12" s="14">
        <v>5</v>
      </c>
      <c r="B12" s="15" t="s">
        <v>602</v>
      </c>
      <c r="C12" s="16" t="s">
        <v>20</v>
      </c>
      <c r="D12" s="14" t="s">
        <v>145</v>
      </c>
      <c r="E12" s="16" t="s">
        <v>603</v>
      </c>
    </row>
    <row r="13" spans="1:5" ht="24" customHeight="1" x14ac:dyDescent="0.2">
      <c r="A13" s="17">
        <v>6</v>
      </c>
      <c r="B13" s="18" t="s">
        <v>604</v>
      </c>
      <c r="C13" s="19" t="s">
        <v>14</v>
      </c>
      <c r="D13" s="17" t="s">
        <v>605</v>
      </c>
      <c r="E13" s="19" t="s">
        <v>606</v>
      </c>
    </row>
    <row r="14" spans="1:5" ht="24" customHeight="1" x14ac:dyDescent="0.2">
      <c r="A14" s="14">
        <v>7</v>
      </c>
      <c r="B14" s="15" t="s">
        <v>607</v>
      </c>
      <c r="C14" s="16" t="s">
        <v>17</v>
      </c>
      <c r="D14" s="14" t="s">
        <v>608</v>
      </c>
      <c r="E14" s="16" t="s">
        <v>609</v>
      </c>
    </row>
    <row r="15" spans="1:5" ht="24" customHeight="1" x14ac:dyDescent="0.2">
      <c r="A15" s="17">
        <v>8</v>
      </c>
      <c r="B15" s="18" t="s">
        <v>610</v>
      </c>
      <c r="C15" s="19" t="s">
        <v>24</v>
      </c>
      <c r="D15" s="17" t="s">
        <v>450</v>
      </c>
      <c r="E15" s="19" t="s">
        <v>611</v>
      </c>
    </row>
    <row r="16" spans="1:5" ht="24" customHeight="1" x14ac:dyDescent="0.2">
      <c r="A16" s="14">
        <v>9</v>
      </c>
      <c r="B16" s="15" t="s">
        <v>612</v>
      </c>
      <c r="C16" s="16" t="s">
        <v>27</v>
      </c>
      <c r="D16" s="14" t="s">
        <v>448</v>
      </c>
      <c r="E16" s="16" t="s">
        <v>613</v>
      </c>
    </row>
    <row r="17" spans="1:5" ht="24" customHeight="1" x14ac:dyDescent="0.2">
      <c r="A17" s="17">
        <v>10</v>
      </c>
      <c r="B17" s="18" t="s">
        <v>614</v>
      </c>
      <c r="C17" s="19" t="s">
        <v>30</v>
      </c>
      <c r="D17" s="17" t="s">
        <v>615</v>
      </c>
      <c r="E17" s="19" t="s">
        <v>616</v>
      </c>
    </row>
    <row r="18" spans="1:5" ht="24" customHeight="1" x14ac:dyDescent="0.2">
      <c r="A18" s="14">
        <v>11</v>
      </c>
      <c r="B18" s="15" t="s">
        <v>617</v>
      </c>
      <c r="C18" s="16" t="s">
        <v>618</v>
      </c>
      <c r="D18" s="14" t="s">
        <v>615</v>
      </c>
      <c r="E18" s="16" t="s">
        <v>619</v>
      </c>
    </row>
    <row r="19" spans="1:5" ht="24" customHeight="1" x14ac:dyDescent="0.2">
      <c r="A19" s="17">
        <v>12</v>
      </c>
      <c r="B19" s="18" t="s">
        <v>620</v>
      </c>
      <c r="C19" s="19" t="s">
        <v>9</v>
      </c>
      <c r="D19" s="17" t="s">
        <v>445</v>
      </c>
      <c r="E19" s="19" t="s">
        <v>621</v>
      </c>
    </row>
    <row r="20" spans="1:5" ht="24" customHeight="1" x14ac:dyDescent="0.2">
      <c r="A20" s="14">
        <v>13</v>
      </c>
      <c r="B20" s="15" t="s">
        <v>576</v>
      </c>
      <c r="C20" s="16" t="s">
        <v>622</v>
      </c>
      <c r="D20" s="14" t="s">
        <v>460</v>
      </c>
      <c r="E20" s="16" t="s">
        <v>623</v>
      </c>
    </row>
    <row r="21" spans="1:5" ht="24" customHeight="1" x14ac:dyDescent="0.2">
      <c r="A21" s="17">
        <v>14</v>
      </c>
      <c r="B21" s="18" t="s">
        <v>624</v>
      </c>
      <c r="C21" s="19" t="s">
        <v>625</v>
      </c>
      <c r="D21" s="17" t="s">
        <v>626</v>
      </c>
      <c r="E21" s="19" t="s">
        <v>627</v>
      </c>
    </row>
    <row r="23" spans="1:5" ht="25.5" customHeight="1" x14ac:dyDescent="0.2">
      <c r="A23" s="12" t="s">
        <v>628</v>
      </c>
      <c r="B23" s="12"/>
      <c r="C23" s="12"/>
      <c r="D23" s="12"/>
      <c r="E23" s="12"/>
    </row>
    <row r="24" spans="1:5" ht="30" customHeight="1" x14ac:dyDescent="0.2">
      <c r="A24" s="13"/>
      <c r="B24" s="13" t="s">
        <v>629</v>
      </c>
      <c r="C24" s="13" t="s">
        <v>630</v>
      </c>
      <c r="D24" s="13" t="s">
        <v>631</v>
      </c>
      <c r="E24" s="13" t="s">
        <v>632</v>
      </c>
    </row>
    <row r="25" spans="1:5" ht="21.75" customHeight="1" x14ac:dyDescent="0.2">
      <c r="A25" s="14">
        <v>1</v>
      </c>
      <c r="B25" s="15" t="s">
        <v>633</v>
      </c>
      <c r="C25" s="16" t="s">
        <v>634</v>
      </c>
      <c r="D25" s="28" t="s">
        <v>252</v>
      </c>
      <c r="E25" s="16" t="s">
        <v>635</v>
      </c>
    </row>
    <row r="26" spans="1:5" ht="21.75" customHeight="1" x14ac:dyDescent="0.2">
      <c r="A26" s="17">
        <v>2</v>
      </c>
      <c r="B26" s="18" t="s">
        <v>636</v>
      </c>
      <c r="C26" s="19" t="s">
        <v>637</v>
      </c>
      <c r="D26" s="28" t="s">
        <v>252</v>
      </c>
      <c r="E26" s="19" t="s">
        <v>638</v>
      </c>
    </row>
    <row r="27" spans="1:5" ht="21.75" customHeight="1" x14ac:dyDescent="0.2">
      <c r="A27" s="14">
        <v>3</v>
      </c>
      <c r="B27" s="15" t="s">
        <v>639</v>
      </c>
      <c r="C27" s="16" t="s">
        <v>640</v>
      </c>
      <c r="D27" s="25" t="s">
        <v>641</v>
      </c>
      <c r="E27" s="16" t="s">
        <v>642</v>
      </c>
    </row>
    <row r="28" spans="1:5" ht="21.75" customHeight="1" x14ac:dyDescent="0.2">
      <c r="A28" s="17">
        <v>4</v>
      </c>
      <c r="B28" s="18" t="s">
        <v>643</v>
      </c>
      <c r="C28" s="19" t="s">
        <v>644</v>
      </c>
      <c r="D28" s="24" t="s">
        <v>269</v>
      </c>
      <c r="E28" s="19" t="s">
        <v>645</v>
      </c>
    </row>
    <row r="29" spans="1:5" ht="21.75" customHeight="1" x14ac:dyDescent="0.2">
      <c r="A29" s="14">
        <v>5</v>
      </c>
      <c r="B29" s="15" t="s">
        <v>646</v>
      </c>
      <c r="C29" s="16" t="s">
        <v>647</v>
      </c>
      <c r="D29" s="24" t="s">
        <v>269</v>
      </c>
      <c r="E29" s="16" t="s">
        <v>648</v>
      </c>
    </row>
    <row r="30" spans="1:5" ht="21.75" customHeight="1" x14ac:dyDescent="0.2">
      <c r="A30" s="17">
        <v>6</v>
      </c>
      <c r="B30" s="18" t="s">
        <v>649</v>
      </c>
      <c r="C30" s="19" t="s">
        <v>650</v>
      </c>
      <c r="D30" s="25" t="s">
        <v>641</v>
      </c>
      <c r="E30" s="19" t="s">
        <v>651</v>
      </c>
    </row>
    <row r="31" spans="1:5" ht="21.75" customHeight="1" x14ac:dyDescent="0.2">
      <c r="A31" s="14">
        <v>7</v>
      </c>
      <c r="B31" s="15" t="s">
        <v>652</v>
      </c>
      <c r="C31" s="16" t="s">
        <v>653</v>
      </c>
      <c r="D31" s="28" t="s">
        <v>252</v>
      </c>
      <c r="E31" s="16" t="s">
        <v>654</v>
      </c>
    </row>
    <row r="32" spans="1:5" ht="21.75" customHeight="1" x14ac:dyDescent="0.2">
      <c r="A32" s="17">
        <v>8</v>
      </c>
      <c r="B32" s="18" t="s">
        <v>655</v>
      </c>
      <c r="C32" s="19" t="s">
        <v>656</v>
      </c>
      <c r="D32" s="28" t="s">
        <v>252</v>
      </c>
      <c r="E32" s="19" t="s">
        <v>657</v>
      </c>
    </row>
    <row r="33" spans="1:5" ht="21.75" customHeight="1" x14ac:dyDescent="0.2">
      <c r="A33" s="14">
        <v>9</v>
      </c>
      <c r="B33" s="15" t="s">
        <v>658</v>
      </c>
      <c r="C33" s="16" t="s">
        <v>659</v>
      </c>
      <c r="D33" s="28" t="s">
        <v>252</v>
      </c>
      <c r="E33" s="16" t="s">
        <v>660</v>
      </c>
    </row>
    <row r="34" spans="1:5" ht="21.75" customHeight="1" x14ac:dyDescent="0.2">
      <c r="A34" s="17">
        <v>10</v>
      </c>
      <c r="B34" s="18" t="s">
        <v>661</v>
      </c>
      <c r="C34" s="19" t="s">
        <v>662</v>
      </c>
      <c r="D34" s="24" t="s">
        <v>269</v>
      </c>
      <c r="E34" s="19" t="s">
        <v>663</v>
      </c>
    </row>
    <row r="35" spans="1:5" ht="21.75" customHeight="1" x14ac:dyDescent="0.2">
      <c r="A35" s="14">
        <v>11</v>
      </c>
      <c r="B35" s="15" t="s">
        <v>304</v>
      </c>
      <c r="C35" s="16" t="s">
        <v>664</v>
      </c>
      <c r="D35" s="28" t="s">
        <v>252</v>
      </c>
      <c r="E35" s="16" t="s">
        <v>665</v>
      </c>
    </row>
    <row r="36" spans="1:5" ht="21.75" customHeight="1" x14ac:dyDescent="0.2">
      <c r="A36" s="17">
        <v>12</v>
      </c>
      <c r="B36" s="18" t="s">
        <v>666</v>
      </c>
      <c r="C36" s="19" t="s">
        <v>667</v>
      </c>
      <c r="D36" s="24" t="s">
        <v>269</v>
      </c>
      <c r="E36" s="19" t="s">
        <v>668</v>
      </c>
    </row>
    <row r="37" spans="1:5" ht="21.75" customHeight="1" x14ac:dyDescent="0.2">
      <c r="A37" s="14">
        <v>13</v>
      </c>
      <c r="B37" s="15" t="s">
        <v>669</v>
      </c>
      <c r="C37" s="16" t="s">
        <v>670</v>
      </c>
      <c r="D37" s="28" t="s">
        <v>252</v>
      </c>
      <c r="E37" s="16" t="s">
        <v>671</v>
      </c>
    </row>
    <row r="38" spans="1:5" ht="21.75" customHeight="1" x14ac:dyDescent="0.2">
      <c r="A38" s="17">
        <v>14</v>
      </c>
      <c r="B38" s="18" t="s">
        <v>672</v>
      </c>
      <c r="C38" s="19" t="s">
        <v>673</v>
      </c>
      <c r="D38" s="28" t="s">
        <v>252</v>
      </c>
      <c r="E38" s="19" t="s">
        <v>674</v>
      </c>
    </row>
    <row r="39" spans="1:5" ht="21.75" customHeight="1" x14ac:dyDescent="0.2">
      <c r="A39" s="14">
        <v>15</v>
      </c>
      <c r="B39" s="15" t="s">
        <v>675</v>
      </c>
      <c r="C39" s="16" t="s">
        <v>676</v>
      </c>
      <c r="D39" s="28" t="s">
        <v>252</v>
      </c>
      <c r="E39" s="16" t="s">
        <v>677</v>
      </c>
    </row>
    <row r="41" spans="1:5" ht="25.5" customHeight="1" x14ac:dyDescent="0.2">
      <c r="A41" s="12" t="s">
        <v>678</v>
      </c>
      <c r="B41" s="12"/>
      <c r="C41" s="12"/>
      <c r="D41" s="12"/>
      <c r="E41" s="12"/>
    </row>
    <row r="42" spans="1:5" ht="30" customHeight="1" x14ac:dyDescent="0.2">
      <c r="A42" s="13"/>
      <c r="B42" s="13" t="s">
        <v>679</v>
      </c>
      <c r="C42" s="13" t="s">
        <v>680</v>
      </c>
      <c r="D42" s="13" t="s">
        <v>681</v>
      </c>
      <c r="E42" s="13" t="s">
        <v>632</v>
      </c>
    </row>
    <row r="43" spans="1:5" ht="21.75" customHeight="1" x14ac:dyDescent="0.2">
      <c r="A43" s="14">
        <v>1</v>
      </c>
      <c r="B43" s="15" t="s">
        <v>682</v>
      </c>
      <c r="C43" s="14" t="s">
        <v>683</v>
      </c>
      <c r="D43" s="14" t="s">
        <v>684</v>
      </c>
      <c r="E43" s="16" t="s">
        <v>685</v>
      </c>
    </row>
    <row r="44" spans="1:5" ht="21.75" customHeight="1" x14ac:dyDescent="0.2">
      <c r="A44" s="17">
        <v>2</v>
      </c>
      <c r="B44" s="18" t="s">
        <v>686</v>
      </c>
      <c r="C44" s="17" t="s">
        <v>683</v>
      </c>
      <c r="D44" s="17" t="s">
        <v>687</v>
      </c>
      <c r="E44" s="19" t="s">
        <v>688</v>
      </c>
    </row>
    <row r="45" spans="1:5" ht="21.75" customHeight="1" x14ac:dyDescent="0.2">
      <c r="A45" s="14">
        <v>3</v>
      </c>
      <c r="B45" s="15" t="s">
        <v>689</v>
      </c>
      <c r="C45" s="14" t="s">
        <v>683</v>
      </c>
      <c r="D45" s="14" t="s">
        <v>687</v>
      </c>
      <c r="E45" s="16" t="s">
        <v>690</v>
      </c>
    </row>
    <row r="46" spans="1:5" ht="21.75" customHeight="1" x14ac:dyDescent="0.2">
      <c r="A46" s="17">
        <v>4</v>
      </c>
      <c r="B46" s="18" t="s">
        <v>691</v>
      </c>
      <c r="C46" s="17" t="s">
        <v>692</v>
      </c>
      <c r="D46" s="17" t="s">
        <v>687</v>
      </c>
      <c r="E46" s="19" t="s">
        <v>693</v>
      </c>
    </row>
    <row r="47" spans="1:5" ht="21.75" customHeight="1" x14ac:dyDescent="0.2">
      <c r="A47" s="14">
        <v>5</v>
      </c>
      <c r="B47" s="15" t="s">
        <v>694</v>
      </c>
      <c r="C47" s="14" t="s">
        <v>683</v>
      </c>
      <c r="D47" s="14" t="s">
        <v>641</v>
      </c>
      <c r="E47" s="16" t="s">
        <v>695</v>
      </c>
    </row>
    <row r="48" spans="1:5" ht="21.75" customHeight="1" x14ac:dyDescent="0.2">
      <c r="A48" s="17">
        <v>6</v>
      </c>
      <c r="B48" s="18" t="s">
        <v>696</v>
      </c>
      <c r="C48" s="17" t="s">
        <v>683</v>
      </c>
      <c r="D48" s="17" t="s">
        <v>641</v>
      </c>
      <c r="E48" s="19" t="s">
        <v>697</v>
      </c>
    </row>
    <row r="49" spans="1:5" ht="21.75" customHeight="1" x14ac:dyDescent="0.2">
      <c r="A49" s="14">
        <v>7</v>
      </c>
      <c r="B49" s="15" t="s">
        <v>698</v>
      </c>
      <c r="C49" s="14" t="s">
        <v>683</v>
      </c>
      <c r="D49" s="14" t="s">
        <v>641</v>
      </c>
      <c r="E49" s="16" t="s">
        <v>699</v>
      </c>
    </row>
    <row r="50" spans="1:5" ht="21.75" customHeight="1" x14ac:dyDescent="0.2">
      <c r="A50" s="17">
        <v>8</v>
      </c>
      <c r="B50" s="18" t="s">
        <v>700</v>
      </c>
      <c r="C50" s="17" t="s">
        <v>683</v>
      </c>
      <c r="D50" s="17" t="s">
        <v>701</v>
      </c>
      <c r="E50" s="19" t="s">
        <v>702</v>
      </c>
    </row>
    <row r="51" spans="1:5" ht="21.75" customHeight="1" x14ac:dyDescent="0.2">
      <c r="A51" s="14">
        <v>9</v>
      </c>
      <c r="B51" s="15" t="s">
        <v>703</v>
      </c>
      <c r="C51" s="14" t="s">
        <v>704</v>
      </c>
      <c r="D51" s="14" t="s">
        <v>252</v>
      </c>
      <c r="E51" s="16" t="s">
        <v>705</v>
      </c>
    </row>
    <row r="52" spans="1:5" ht="21.75" customHeight="1" x14ac:dyDescent="0.2">
      <c r="A52" s="17">
        <v>10</v>
      </c>
      <c r="B52" s="18" t="s">
        <v>706</v>
      </c>
      <c r="C52" s="17" t="s">
        <v>683</v>
      </c>
      <c r="D52" s="17" t="s">
        <v>252</v>
      </c>
      <c r="E52" s="19" t="s">
        <v>707</v>
      </c>
    </row>
    <row r="53" spans="1:5" ht="21.75" customHeight="1" x14ac:dyDescent="0.2">
      <c r="A53" s="14">
        <v>11</v>
      </c>
      <c r="B53" s="15" t="s">
        <v>708</v>
      </c>
      <c r="C53" s="14" t="s">
        <v>704</v>
      </c>
      <c r="D53" s="14" t="s">
        <v>709</v>
      </c>
      <c r="E53" s="16" t="s">
        <v>710</v>
      </c>
    </row>
    <row r="54" spans="1:5" ht="21.75" customHeight="1" x14ac:dyDescent="0.2">
      <c r="A54" s="17">
        <v>12</v>
      </c>
      <c r="B54" s="18" t="s">
        <v>711</v>
      </c>
      <c r="C54" s="17" t="s">
        <v>704</v>
      </c>
      <c r="D54" s="17" t="s">
        <v>712</v>
      </c>
      <c r="E54" s="19" t="s">
        <v>713</v>
      </c>
    </row>
    <row r="56" spans="1:5" ht="25.5" customHeight="1" x14ac:dyDescent="0.2">
      <c r="A56" s="12" t="s">
        <v>714</v>
      </c>
      <c r="B56" s="12"/>
      <c r="C56" s="12"/>
      <c r="D56" s="12"/>
      <c r="E56" s="12"/>
    </row>
    <row r="57" spans="1:5" ht="30" customHeight="1" x14ac:dyDescent="0.2">
      <c r="A57" s="13" t="s">
        <v>3</v>
      </c>
      <c r="B57" s="13" t="s">
        <v>715</v>
      </c>
      <c r="C57" s="13" t="s">
        <v>586</v>
      </c>
      <c r="D57" s="13" t="s">
        <v>716</v>
      </c>
      <c r="E57" s="13"/>
    </row>
    <row r="58" spans="1:5" ht="24" customHeight="1" x14ac:dyDescent="0.2">
      <c r="A58" s="14" t="s">
        <v>717</v>
      </c>
      <c r="B58" s="15" t="s">
        <v>718</v>
      </c>
      <c r="C58" s="14" t="s">
        <v>719</v>
      </c>
      <c r="D58" s="16" t="s">
        <v>720</v>
      </c>
      <c r="E58" s="16"/>
    </row>
    <row r="59" spans="1:5" ht="24" customHeight="1" x14ac:dyDescent="0.2">
      <c r="A59" s="17" t="s">
        <v>721</v>
      </c>
      <c r="B59" s="18" t="s">
        <v>722</v>
      </c>
      <c r="C59" s="17" t="s">
        <v>719</v>
      </c>
      <c r="D59" s="19" t="s">
        <v>723</v>
      </c>
      <c r="E59" s="19"/>
    </row>
    <row r="60" spans="1:5" ht="24" customHeight="1" x14ac:dyDescent="0.2">
      <c r="A60" s="14" t="s">
        <v>724</v>
      </c>
      <c r="B60" s="15" t="s">
        <v>725</v>
      </c>
      <c r="C60" s="14" t="s">
        <v>726</v>
      </c>
      <c r="D60" s="16" t="s">
        <v>727</v>
      </c>
      <c r="E60" s="16"/>
    </row>
    <row r="61" spans="1:5" ht="24" customHeight="1" x14ac:dyDescent="0.2">
      <c r="A61" s="17" t="s">
        <v>728</v>
      </c>
      <c r="B61" s="18" t="s">
        <v>729</v>
      </c>
      <c r="C61" s="17" t="s">
        <v>730</v>
      </c>
      <c r="D61" s="19" t="s">
        <v>731</v>
      </c>
      <c r="E61" s="19"/>
    </row>
    <row r="62" spans="1:5" ht="24" customHeight="1" x14ac:dyDescent="0.2">
      <c r="A62" s="14" t="s">
        <v>732</v>
      </c>
      <c r="B62" s="15" t="s">
        <v>733</v>
      </c>
      <c r="C62" s="14" t="s">
        <v>734</v>
      </c>
      <c r="D62" s="16" t="s">
        <v>735</v>
      </c>
      <c r="E62" s="16"/>
    </row>
    <row r="63" spans="1:5" ht="24" customHeight="1" x14ac:dyDescent="0.2">
      <c r="A63" s="17" t="s">
        <v>736</v>
      </c>
      <c r="B63" s="18" t="s">
        <v>737</v>
      </c>
      <c r="C63" s="17" t="s">
        <v>734</v>
      </c>
      <c r="D63" s="19" t="s">
        <v>738</v>
      </c>
      <c r="E63" s="19"/>
    </row>
    <row r="64" spans="1:5" ht="24" customHeight="1" x14ac:dyDescent="0.2">
      <c r="A64" s="14" t="s">
        <v>739</v>
      </c>
      <c r="B64" s="15" t="s">
        <v>740</v>
      </c>
      <c r="C64" s="14" t="s">
        <v>17</v>
      </c>
      <c r="D64" s="16" t="s">
        <v>741</v>
      </c>
      <c r="E64" s="16"/>
    </row>
    <row r="65" spans="1:5" ht="24" customHeight="1" x14ac:dyDescent="0.2">
      <c r="A65" s="17" t="s">
        <v>742</v>
      </c>
      <c r="B65" s="18" t="s">
        <v>743</v>
      </c>
      <c r="C65" s="17" t="s">
        <v>719</v>
      </c>
      <c r="D65" s="19" t="s">
        <v>744</v>
      </c>
      <c r="E65" s="19"/>
    </row>
    <row r="66" spans="1:5" ht="24" customHeight="1" x14ac:dyDescent="0.2">
      <c r="A66" s="14" t="s">
        <v>745</v>
      </c>
      <c r="B66" s="15" t="s">
        <v>746</v>
      </c>
      <c r="C66" s="14" t="s">
        <v>730</v>
      </c>
      <c r="D66" s="16" t="s">
        <v>747</v>
      </c>
      <c r="E66" s="16"/>
    </row>
    <row r="67" spans="1:5" ht="24" customHeight="1" x14ac:dyDescent="0.2">
      <c r="A67" s="17" t="s">
        <v>748</v>
      </c>
      <c r="B67" s="18" t="s">
        <v>749</v>
      </c>
      <c r="C67" s="17" t="s">
        <v>726</v>
      </c>
      <c r="D67" s="19" t="s">
        <v>750</v>
      </c>
      <c r="E67" s="19"/>
    </row>
    <row r="68" spans="1:5" ht="24" customHeight="1" x14ac:dyDescent="0.2">
      <c r="A68" s="14" t="s">
        <v>751</v>
      </c>
      <c r="B68" s="15" t="s">
        <v>752</v>
      </c>
      <c r="C68" s="14" t="s">
        <v>17</v>
      </c>
      <c r="D68" s="16" t="s">
        <v>753</v>
      </c>
      <c r="E68" s="16"/>
    </row>
    <row r="69" spans="1:5" ht="24" customHeight="1" x14ac:dyDescent="0.2">
      <c r="A69" s="17" t="s">
        <v>754</v>
      </c>
      <c r="B69" s="18" t="s">
        <v>755</v>
      </c>
      <c r="C69" s="17" t="s">
        <v>730</v>
      </c>
      <c r="D69" s="19" t="s">
        <v>756</v>
      </c>
      <c r="E69" s="19"/>
    </row>
    <row r="71" spans="1:5" ht="25.5" customHeight="1" x14ac:dyDescent="0.2">
      <c r="A71" s="12" t="s">
        <v>757</v>
      </c>
      <c r="B71" s="12"/>
      <c r="C71" s="12"/>
      <c r="D71" s="12"/>
      <c r="E71" s="12"/>
    </row>
    <row r="72" spans="1:5" ht="30" customHeight="1" x14ac:dyDescent="0.2">
      <c r="A72" s="13"/>
      <c r="B72" s="13" t="s">
        <v>758</v>
      </c>
      <c r="C72" s="13" t="s">
        <v>759</v>
      </c>
      <c r="D72" s="13" t="s">
        <v>760</v>
      </c>
      <c r="E72" s="13" t="s">
        <v>632</v>
      </c>
    </row>
    <row r="73" spans="1:5" ht="21.75" customHeight="1" x14ac:dyDescent="0.2">
      <c r="A73" s="14">
        <v>1</v>
      </c>
      <c r="B73" s="15" t="s">
        <v>761</v>
      </c>
      <c r="C73" s="14" t="s">
        <v>762</v>
      </c>
      <c r="D73" s="16" t="s">
        <v>700</v>
      </c>
      <c r="E73" s="16" t="s">
        <v>763</v>
      </c>
    </row>
    <row r="74" spans="1:5" ht="21.75" customHeight="1" x14ac:dyDescent="0.2">
      <c r="A74" s="17">
        <v>2</v>
      </c>
      <c r="B74" s="18" t="s">
        <v>764</v>
      </c>
      <c r="C74" s="17" t="s">
        <v>765</v>
      </c>
      <c r="D74" s="19" t="s">
        <v>766</v>
      </c>
      <c r="E74" s="19" t="s">
        <v>767</v>
      </c>
    </row>
    <row r="75" spans="1:5" ht="21.75" customHeight="1" x14ac:dyDescent="0.2">
      <c r="A75" s="14">
        <v>3</v>
      </c>
      <c r="B75" s="15" t="s">
        <v>768</v>
      </c>
      <c r="C75" s="14" t="s">
        <v>769</v>
      </c>
      <c r="D75" s="16" t="s">
        <v>682</v>
      </c>
      <c r="E75" s="16" t="s">
        <v>770</v>
      </c>
    </row>
    <row r="76" spans="1:5" ht="21.75" customHeight="1" x14ac:dyDescent="0.2">
      <c r="A76" s="17">
        <v>4</v>
      </c>
      <c r="B76" s="18" t="s">
        <v>771</v>
      </c>
      <c r="C76" s="17" t="s">
        <v>769</v>
      </c>
      <c r="D76" s="19" t="s">
        <v>772</v>
      </c>
      <c r="E76" s="19" t="s">
        <v>773</v>
      </c>
    </row>
    <row r="77" spans="1:5" ht="21.75" customHeight="1" x14ac:dyDescent="0.2">
      <c r="A77" s="14">
        <v>5</v>
      </c>
      <c r="B77" s="15" t="s">
        <v>774</v>
      </c>
      <c r="C77" s="14" t="s">
        <v>765</v>
      </c>
      <c r="D77" s="16" t="s">
        <v>706</v>
      </c>
      <c r="E77" s="16" t="s">
        <v>775</v>
      </c>
    </row>
    <row r="78" spans="1:5" ht="21.75" customHeight="1" x14ac:dyDescent="0.2">
      <c r="A78" s="17">
        <v>6</v>
      </c>
      <c r="B78" s="18" t="s">
        <v>776</v>
      </c>
      <c r="C78" s="17" t="s">
        <v>765</v>
      </c>
      <c r="D78" s="19" t="s">
        <v>777</v>
      </c>
      <c r="E78" s="19" t="s">
        <v>778</v>
      </c>
    </row>
    <row r="80" spans="1:5" ht="25.5" customHeight="1" x14ac:dyDescent="0.2">
      <c r="A80" s="12" t="s">
        <v>779</v>
      </c>
      <c r="B80" s="12"/>
      <c r="C80" s="12"/>
      <c r="D80" s="12"/>
      <c r="E80" s="12"/>
    </row>
    <row r="81" spans="1:5" ht="30" customHeight="1" x14ac:dyDescent="0.2">
      <c r="A81" s="13"/>
      <c r="B81" s="13" t="s">
        <v>780</v>
      </c>
      <c r="C81" s="13" t="s">
        <v>448</v>
      </c>
      <c r="D81" s="13" t="s">
        <v>269</v>
      </c>
      <c r="E81" s="13" t="s">
        <v>781</v>
      </c>
    </row>
    <row r="82" spans="1:5" ht="21.75" customHeight="1" x14ac:dyDescent="0.2">
      <c r="A82" s="14">
        <v>1</v>
      </c>
      <c r="B82" s="15" t="s">
        <v>782</v>
      </c>
      <c r="C82" s="14" t="s">
        <v>783</v>
      </c>
      <c r="D82" s="14" t="s">
        <v>784</v>
      </c>
      <c r="E82" s="16" t="s">
        <v>785</v>
      </c>
    </row>
    <row r="83" spans="1:5" ht="21.75" customHeight="1" x14ac:dyDescent="0.2">
      <c r="A83" s="17">
        <v>2</v>
      </c>
      <c r="B83" s="18" t="s">
        <v>263</v>
      </c>
      <c r="C83" s="25" t="s">
        <v>786</v>
      </c>
      <c r="D83" s="24" t="s">
        <v>786</v>
      </c>
      <c r="E83" s="19" t="s">
        <v>294</v>
      </c>
    </row>
    <row r="84" spans="1:5" ht="21.75" customHeight="1" x14ac:dyDescent="0.2">
      <c r="A84" s="14">
        <v>3</v>
      </c>
      <c r="B84" s="15" t="s">
        <v>267</v>
      </c>
      <c r="C84" s="14" t="s">
        <v>294</v>
      </c>
      <c r="D84" s="24" t="s">
        <v>786</v>
      </c>
      <c r="E84" s="16" t="s">
        <v>787</v>
      </c>
    </row>
    <row r="85" spans="1:5" ht="21.75" customHeight="1" x14ac:dyDescent="0.2">
      <c r="A85" s="17">
        <v>4</v>
      </c>
      <c r="B85" s="18" t="s">
        <v>788</v>
      </c>
      <c r="C85" s="17" t="s">
        <v>294</v>
      </c>
      <c r="D85" s="24" t="s">
        <v>786</v>
      </c>
      <c r="E85" s="19" t="s">
        <v>789</v>
      </c>
    </row>
    <row r="86" spans="1:5" ht="21.75" customHeight="1" x14ac:dyDescent="0.2">
      <c r="A86" s="14">
        <v>5</v>
      </c>
      <c r="B86" s="15" t="s">
        <v>282</v>
      </c>
      <c r="C86" s="14" t="s">
        <v>294</v>
      </c>
      <c r="D86" s="24" t="s">
        <v>786</v>
      </c>
      <c r="E86" s="16" t="s">
        <v>790</v>
      </c>
    </row>
    <row r="87" spans="1:5" ht="21.75" customHeight="1" x14ac:dyDescent="0.2">
      <c r="A87" s="17">
        <v>6</v>
      </c>
      <c r="B87" s="18" t="s">
        <v>791</v>
      </c>
      <c r="C87" s="17" t="s">
        <v>294</v>
      </c>
      <c r="D87" s="24" t="s">
        <v>786</v>
      </c>
      <c r="E87" s="19" t="s">
        <v>792</v>
      </c>
    </row>
    <row r="88" spans="1:5" ht="21.75" customHeight="1" x14ac:dyDescent="0.2">
      <c r="A88" s="14">
        <v>7</v>
      </c>
      <c r="B88" s="15" t="s">
        <v>291</v>
      </c>
      <c r="C88" s="14" t="s">
        <v>294</v>
      </c>
      <c r="D88" s="24" t="s">
        <v>786</v>
      </c>
      <c r="E88" s="16" t="s">
        <v>793</v>
      </c>
    </row>
    <row r="89" spans="1:5" ht="21.75" customHeight="1" x14ac:dyDescent="0.2">
      <c r="A89" s="17">
        <v>8</v>
      </c>
      <c r="B89" s="18" t="s">
        <v>794</v>
      </c>
      <c r="C89" s="17" t="s">
        <v>294</v>
      </c>
      <c r="D89" s="24" t="s">
        <v>786</v>
      </c>
      <c r="E89" s="19" t="s">
        <v>795</v>
      </c>
    </row>
    <row r="90" spans="1:5" ht="21.75" customHeight="1" x14ac:dyDescent="0.2">
      <c r="A90" s="14">
        <v>9</v>
      </c>
      <c r="B90" s="15" t="s">
        <v>297</v>
      </c>
      <c r="C90" s="14" t="s">
        <v>294</v>
      </c>
      <c r="D90" s="24" t="s">
        <v>786</v>
      </c>
      <c r="E90" s="16" t="s">
        <v>796</v>
      </c>
    </row>
    <row r="91" spans="1:5" ht="21.75" customHeight="1" x14ac:dyDescent="0.2">
      <c r="A91" s="17">
        <v>10</v>
      </c>
      <c r="B91" s="18" t="s">
        <v>302</v>
      </c>
      <c r="C91" s="25" t="s">
        <v>786</v>
      </c>
      <c r="D91" s="24" t="s">
        <v>786</v>
      </c>
      <c r="E91" s="19" t="s">
        <v>797</v>
      </c>
    </row>
    <row r="93" spans="1:5" ht="25.5" customHeight="1" x14ac:dyDescent="0.2">
      <c r="A93" s="12" t="s">
        <v>798</v>
      </c>
      <c r="B93" s="12"/>
      <c r="C93" s="12"/>
      <c r="D93" s="12"/>
      <c r="E93" s="12"/>
    </row>
    <row r="94" spans="1:5" ht="30" customHeight="1" x14ac:dyDescent="0.2">
      <c r="A94" s="13"/>
      <c r="B94" s="13" t="s">
        <v>561</v>
      </c>
      <c r="C94" s="13" t="s">
        <v>4</v>
      </c>
      <c r="D94" s="13" t="s">
        <v>799</v>
      </c>
      <c r="E94" s="13" t="s">
        <v>176</v>
      </c>
    </row>
    <row r="95" spans="1:5" ht="21.75" customHeight="1" x14ac:dyDescent="0.2">
      <c r="A95" s="14">
        <v>1</v>
      </c>
      <c r="B95" s="15" t="s">
        <v>800</v>
      </c>
      <c r="C95" s="14" t="s">
        <v>20</v>
      </c>
      <c r="D95" s="14" t="s">
        <v>786</v>
      </c>
      <c r="E95" s="16" t="s">
        <v>801</v>
      </c>
    </row>
    <row r="96" spans="1:5" ht="21.75" customHeight="1" x14ac:dyDescent="0.2">
      <c r="A96" s="17">
        <v>2</v>
      </c>
      <c r="B96" s="18" t="s">
        <v>802</v>
      </c>
      <c r="C96" s="17" t="s">
        <v>20</v>
      </c>
      <c r="D96" s="17" t="s">
        <v>786</v>
      </c>
      <c r="E96" s="19" t="s">
        <v>803</v>
      </c>
    </row>
    <row r="97" spans="1:5" ht="21.75" customHeight="1" x14ac:dyDescent="0.2">
      <c r="A97" s="14">
        <v>3</v>
      </c>
      <c r="B97" s="15" t="s">
        <v>804</v>
      </c>
      <c r="C97" s="14" t="s">
        <v>14</v>
      </c>
      <c r="D97" s="14" t="s">
        <v>786</v>
      </c>
      <c r="E97" s="16" t="s">
        <v>805</v>
      </c>
    </row>
    <row r="98" spans="1:5" ht="21.75" customHeight="1" x14ac:dyDescent="0.2">
      <c r="A98" s="17">
        <v>4</v>
      </c>
      <c r="B98" s="18" t="s">
        <v>806</v>
      </c>
      <c r="C98" s="17" t="s">
        <v>14</v>
      </c>
      <c r="D98" s="17" t="s">
        <v>786</v>
      </c>
      <c r="E98" s="19" t="s">
        <v>807</v>
      </c>
    </row>
    <row r="99" spans="1:5" ht="21.75" customHeight="1" x14ac:dyDescent="0.2">
      <c r="A99" s="14">
        <v>5</v>
      </c>
      <c r="B99" s="15" t="s">
        <v>808</v>
      </c>
      <c r="C99" s="14" t="s">
        <v>14</v>
      </c>
      <c r="D99" s="14" t="s">
        <v>786</v>
      </c>
      <c r="E99" s="16" t="s">
        <v>809</v>
      </c>
    </row>
    <row r="100" spans="1:5" ht="21.75" customHeight="1" x14ac:dyDescent="0.2">
      <c r="A100" s="17">
        <v>6</v>
      </c>
      <c r="B100" s="18" t="s">
        <v>810</v>
      </c>
      <c r="C100" s="17" t="s">
        <v>811</v>
      </c>
      <c r="D100" s="17" t="s">
        <v>786</v>
      </c>
      <c r="E100" s="19" t="s">
        <v>812</v>
      </c>
    </row>
    <row r="101" spans="1:5" ht="21.75" customHeight="1" x14ac:dyDescent="0.2">
      <c r="A101" s="14">
        <v>7</v>
      </c>
      <c r="B101" s="15" t="s">
        <v>813</v>
      </c>
      <c r="C101" s="14" t="s">
        <v>17</v>
      </c>
      <c r="D101" s="14" t="s">
        <v>786</v>
      </c>
      <c r="E101" s="16" t="s">
        <v>805</v>
      </c>
    </row>
    <row r="102" spans="1:5" ht="21.75" customHeight="1" x14ac:dyDescent="0.2">
      <c r="A102" s="17">
        <v>8</v>
      </c>
      <c r="B102" s="18" t="s">
        <v>814</v>
      </c>
      <c r="C102" s="17" t="s">
        <v>815</v>
      </c>
      <c r="D102" s="17" t="s">
        <v>786</v>
      </c>
      <c r="E102" s="19" t="s">
        <v>816</v>
      </c>
    </row>
    <row r="103" spans="1:5" ht="21.75" customHeight="1" x14ac:dyDescent="0.2">
      <c r="A103" s="14">
        <v>9</v>
      </c>
      <c r="B103" s="15" t="s">
        <v>817</v>
      </c>
      <c r="C103" s="14" t="s">
        <v>815</v>
      </c>
      <c r="D103" s="14" t="s">
        <v>786</v>
      </c>
      <c r="E103" s="16" t="s">
        <v>818</v>
      </c>
    </row>
    <row r="104" spans="1:5" ht="21.75" customHeight="1" x14ac:dyDescent="0.2">
      <c r="A104" s="17">
        <v>10</v>
      </c>
      <c r="B104" s="18" t="s">
        <v>819</v>
      </c>
      <c r="C104" s="17" t="s">
        <v>811</v>
      </c>
      <c r="D104" s="17" t="s">
        <v>820</v>
      </c>
      <c r="E104" s="19" t="s">
        <v>821</v>
      </c>
    </row>
    <row r="105" spans="1:5" ht="21.75" customHeight="1" x14ac:dyDescent="0.2">
      <c r="A105" s="14">
        <v>11</v>
      </c>
      <c r="B105" s="15" t="s">
        <v>822</v>
      </c>
      <c r="C105" s="14" t="s">
        <v>27</v>
      </c>
      <c r="D105" s="14" t="s">
        <v>820</v>
      </c>
      <c r="E105" s="16" t="s">
        <v>823</v>
      </c>
    </row>
    <row r="106" spans="1:5" ht="21.75" customHeight="1" x14ac:dyDescent="0.2">
      <c r="A106" s="17">
        <v>12</v>
      </c>
      <c r="B106" s="18" t="s">
        <v>824</v>
      </c>
      <c r="C106" s="17" t="s">
        <v>27</v>
      </c>
      <c r="D106" s="17" t="s">
        <v>820</v>
      </c>
      <c r="E106" s="19" t="s">
        <v>825</v>
      </c>
    </row>
  </sheetData>
  <mergeCells count="9">
    <mergeCell ref="A56:E56"/>
    <mergeCell ref="A71:E71"/>
    <mergeCell ref="A80:E80"/>
    <mergeCell ref="A93:E93"/>
    <mergeCell ref="C2:E2"/>
    <mergeCell ref="C3:E3"/>
    <mergeCell ref="A6:E6"/>
    <mergeCell ref="A23:E23"/>
    <mergeCell ref="A41:E41"/>
  </mergeCells>
  <conditionalFormatting sqref="C2:E2">
    <cfRule type="colorScale" priority="1">
      <colorScale>
        <cfvo type="min"/>
        <cfvo type="max"/>
        <color rgb="FF0661E2"/>
        <color rgb="FF04D6BF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Operation</vt:lpstr>
      <vt:lpstr>Features</vt:lpstr>
      <vt:lpstr>Financials</vt:lpstr>
      <vt:lpstr>Structure</vt:lpstr>
      <vt:lpstr>ActivePct</vt:lpstr>
      <vt:lpstr>ConvRate</vt:lpstr>
      <vt:lpstr>CostPerInt</vt:lpstr>
      <vt:lpstr>CostPerQ</vt:lpstr>
      <vt:lpstr>CurrentUsers</vt:lpstr>
      <vt:lpstr>FixedCosts</vt:lpstr>
      <vt:lpstr>FreeAvgQ</vt:lpstr>
      <vt:lpstr>FreeLimit</vt:lpstr>
      <vt:lpstr>PaidAvgInt</vt:lpstr>
      <vt:lpstr>PaidAvgQ</vt:lpstr>
      <vt:lpstr>Slider</vt:lpstr>
      <vt:lpstr>StripeFixed</vt:lpstr>
      <vt:lpstr>StripePct</vt:lpstr>
      <vt:lpstr>SubPrice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Carson Wilkie '28</cp:lastModifiedBy>
  <cp:revision>0</cp:revision>
  <dcterms:created xsi:type="dcterms:W3CDTF">2026-05-05T00:13:16Z</dcterms:created>
  <dcterms:modified xsi:type="dcterms:W3CDTF">2026-05-05T01:04:56Z</dcterms:modified>
  <dc:language>en-US</dc:language>
</cp:coreProperties>
</file>